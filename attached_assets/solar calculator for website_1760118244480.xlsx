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HASHIDHAR PATIL\SPECTRUM ENERGIES\Logo and Company Profile\"/>
    </mc:Choice>
  </mc:AlternateContent>
  <bookViews>
    <workbookView xWindow="0" yWindow="0" windowWidth="23040" windowHeight="9756" activeTab="2"/>
  </bookViews>
  <sheets>
    <sheet name="BOM" sheetId="1" r:id="rId1"/>
    <sheet name="Input form" sheetId="2" r:id="rId2"/>
    <sheet name="Process" sheetId="3" r:id="rId3"/>
    <sheet name="Output" sheetId="5" r:id="rId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8" i="5" l="1"/>
  <c r="F18" i="5" s="1"/>
  <c r="G18" i="5" s="1"/>
  <c r="H18" i="5" s="1"/>
  <c r="I18" i="5" s="1"/>
  <c r="J18" i="5" s="1"/>
  <c r="K18" i="5" s="1"/>
  <c r="L18" i="5" s="1"/>
  <c r="M18" i="5" s="1"/>
  <c r="N18" i="5" s="1"/>
  <c r="O18" i="5" s="1"/>
  <c r="P18" i="5" s="1"/>
  <c r="Q18" i="5" s="1"/>
  <c r="R18" i="5" s="1"/>
  <c r="S18" i="5" s="1"/>
  <c r="T18" i="5" s="1"/>
  <c r="U18" i="5" s="1"/>
  <c r="V18" i="5" s="1"/>
  <c r="W18" i="5" s="1"/>
  <c r="X18" i="5" s="1"/>
  <c r="Y18" i="5" s="1"/>
  <c r="Z18" i="5" s="1"/>
  <c r="AA18" i="5" s="1"/>
  <c r="AB18" i="5" s="1"/>
  <c r="D18" i="5"/>
  <c r="C11" i="5"/>
  <c r="C12" i="5" s="1"/>
  <c r="D19" i="5" s="1"/>
  <c r="E19" i="5" s="1"/>
  <c r="F19" i="5" s="1"/>
  <c r="G19" i="5" s="1"/>
  <c r="H19" i="5" s="1"/>
  <c r="I19" i="5" s="1"/>
  <c r="J19" i="5" s="1"/>
  <c r="K19" i="5" s="1"/>
  <c r="L19" i="5" s="1"/>
  <c r="M19" i="5" s="1"/>
  <c r="N19" i="5" s="1"/>
  <c r="O19" i="5" s="1"/>
  <c r="P19" i="5" s="1"/>
  <c r="Q19" i="5" s="1"/>
  <c r="R19" i="5" s="1"/>
  <c r="S19" i="5" s="1"/>
  <c r="T19" i="5" s="1"/>
  <c r="U19" i="5" s="1"/>
  <c r="V19" i="5" s="1"/>
  <c r="W19" i="5" s="1"/>
  <c r="X19" i="5" s="1"/>
  <c r="Y19" i="5" s="1"/>
  <c r="Z19" i="5" s="1"/>
  <c r="AA19" i="5" s="1"/>
  <c r="AB19" i="5" s="1"/>
  <c r="J79" i="3" l="1"/>
  <c r="J77" i="3"/>
  <c r="J76" i="3"/>
  <c r="J75" i="3"/>
  <c r="J74" i="3"/>
  <c r="J73" i="3"/>
  <c r="J72" i="3"/>
  <c r="J70" i="3"/>
  <c r="J69" i="3"/>
  <c r="J66" i="3"/>
  <c r="J65" i="3"/>
  <c r="J64" i="3"/>
  <c r="J63" i="3"/>
  <c r="J62" i="3"/>
  <c r="J61" i="3"/>
  <c r="J60" i="3"/>
  <c r="J59" i="3"/>
  <c r="J58" i="3"/>
  <c r="J57" i="3"/>
  <c r="G55" i="3"/>
  <c r="J55" i="3" s="1"/>
  <c r="J54" i="3"/>
  <c r="G54" i="3"/>
  <c r="G53" i="3"/>
  <c r="J53" i="3" s="1"/>
  <c r="J52" i="3"/>
  <c r="J51" i="3"/>
  <c r="J50" i="3"/>
  <c r="J49" i="3"/>
  <c r="G48" i="3"/>
  <c r="J48" i="3" s="1"/>
  <c r="G47" i="3"/>
  <c r="J47" i="3" s="1"/>
  <c r="J46" i="3"/>
  <c r="J45" i="3"/>
  <c r="G44" i="3"/>
  <c r="G82" i="3" s="1"/>
  <c r="J38" i="1"/>
  <c r="J36" i="1"/>
  <c r="J35" i="1"/>
  <c r="J34" i="1"/>
  <c r="J33" i="1"/>
  <c r="J32" i="1"/>
  <c r="J31" i="1"/>
  <c r="J29" i="1"/>
  <c r="J28" i="1"/>
  <c r="J25" i="1"/>
  <c r="J24" i="1"/>
  <c r="J23" i="1"/>
  <c r="J22" i="1"/>
  <c r="J21" i="1"/>
  <c r="J20" i="1"/>
  <c r="J19" i="1"/>
  <c r="J18" i="1"/>
  <c r="J17" i="1"/>
  <c r="J16" i="1"/>
  <c r="G14" i="1"/>
  <c r="J14" i="1" s="1"/>
  <c r="G13" i="1"/>
  <c r="J13" i="1" s="1"/>
  <c r="G12" i="1"/>
  <c r="J12" i="1" s="1"/>
  <c r="J11" i="1"/>
  <c r="J10" i="1"/>
  <c r="J9" i="1"/>
  <c r="J8" i="1"/>
  <c r="G7" i="1"/>
  <c r="J7" i="1" s="1"/>
  <c r="G6" i="1"/>
  <c r="J5" i="1"/>
  <c r="J4" i="1"/>
  <c r="G3" i="1"/>
  <c r="J3" i="1" s="1"/>
  <c r="J44" i="3" l="1"/>
  <c r="J81" i="3" s="1"/>
  <c r="G83" i="3" s="1"/>
  <c r="G84" i="3" s="1"/>
  <c r="G41" i="1"/>
  <c r="J6" i="1"/>
  <c r="J40" i="1" s="1"/>
  <c r="G42" i="1" s="1"/>
  <c r="G43" i="1" s="1"/>
</calcChain>
</file>

<file path=xl/sharedStrings.xml><?xml version="1.0" encoding="utf-8"?>
<sst xmlns="http://schemas.openxmlformats.org/spreadsheetml/2006/main" count="442" uniqueCount="226">
  <si>
    <t>Type of roof</t>
  </si>
  <si>
    <t>Field</t>
  </si>
  <si>
    <t>Sheet roof</t>
  </si>
  <si>
    <t>RCC roof</t>
  </si>
  <si>
    <t>Options</t>
  </si>
  <si>
    <t>No. of Floors</t>
  </si>
  <si>
    <t>G,G+1,G+2,etc</t>
  </si>
  <si>
    <t>Type of building</t>
  </si>
  <si>
    <t>Residence</t>
  </si>
  <si>
    <t>Apartment( RWA)</t>
  </si>
  <si>
    <t>Commercial</t>
  </si>
  <si>
    <t>Industrial</t>
  </si>
  <si>
    <t>Sanctioned load</t>
  </si>
  <si>
    <t>as per bill</t>
  </si>
  <si>
    <t>Monthly electricity bill</t>
  </si>
  <si>
    <t>Location</t>
  </si>
  <si>
    <t>after choosing this option display " You are eligible for govt subsidy, would you like to avail it?" If user chooses subsidy option then proceed with subsidy logic</t>
  </si>
  <si>
    <t>Not eligible for subsidy</t>
  </si>
  <si>
    <r>
      <t>Start:</t>
    </r>
    <r>
      <rPr>
        <sz val="11"/>
        <color theme="1"/>
        <rFont val="Calibri"/>
        <family val="2"/>
        <scheme val="minor"/>
      </rPr>
      <t xml:space="preserve"> The user lands on the solar calculator page.</t>
    </r>
  </si>
  <si>
    <t>Input Form 1:</t>
  </si>
  <si>
    <r>
      <t>Question:</t>
    </r>
    <r>
      <rPr>
        <sz val="11"/>
        <color theme="1"/>
        <rFont val="Calibri"/>
        <family val="2"/>
        <scheme val="minor"/>
      </rPr>
      <t xml:space="preserve"> Building type?</t>
    </r>
  </si>
  <si>
    <r>
      <t>Action:</t>
    </r>
    <r>
      <rPr>
        <sz val="11"/>
        <color theme="1"/>
        <rFont val="Calibri"/>
        <family val="2"/>
        <scheme val="minor"/>
      </rPr>
      <t xml:space="preserve"> User enters data and clicks "Next."</t>
    </r>
  </si>
  <si>
    <r>
      <t>Question:</t>
    </r>
    <r>
      <rPr>
        <sz val="11"/>
        <color theme="1"/>
        <rFont val="Calibri"/>
        <family val="2"/>
        <scheme val="minor"/>
      </rPr>
      <t xml:space="preserve"> Number of floors?</t>
    </r>
  </si>
  <si>
    <r>
      <t>Question:</t>
    </r>
    <r>
      <rPr>
        <sz val="11"/>
        <color theme="1"/>
        <rFont val="Calibri"/>
        <family val="2"/>
        <scheme val="minor"/>
      </rPr>
      <t xml:space="preserve"> Type of roof?</t>
    </r>
  </si>
  <si>
    <r>
      <t xml:space="preserve">Logic: </t>
    </r>
    <r>
      <rPr>
        <sz val="11"/>
        <color theme="1"/>
        <rFont val="Calibri"/>
        <family val="2"/>
        <scheme val="minor"/>
      </rPr>
      <t>User gets four options : 1. Residential 2.Commercial ( hospital,shopping complex,hotels etc) 3.Industrial (Factories) 4.Apartment complex or Gated community (Resident welfare association)</t>
    </r>
  </si>
  <si>
    <t>Question: Sanctioned load (as per electricity bill)?</t>
  </si>
  <si>
    <t>Question: Monthly (as per electricity bill)?</t>
  </si>
  <si>
    <t>Question: Location?</t>
  </si>
  <si>
    <t>6KW quotation for site customer Mr.Madhuram</t>
  </si>
  <si>
    <t>Sl No.</t>
  </si>
  <si>
    <t>Item Description</t>
  </si>
  <si>
    <t>Rating / details</t>
  </si>
  <si>
    <t xml:space="preserve"> </t>
  </si>
  <si>
    <t>Qty</t>
  </si>
  <si>
    <t>UOM</t>
  </si>
  <si>
    <t>Amount</t>
  </si>
  <si>
    <t>Rates excluding GST</t>
  </si>
  <si>
    <t>GST %</t>
  </si>
  <si>
    <t>GST Amount</t>
  </si>
  <si>
    <t>Solar PV Module</t>
  </si>
  <si>
    <t>550 Wp Bifacial-DCR</t>
  </si>
  <si>
    <t>Adani</t>
  </si>
  <si>
    <t>Nos</t>
  </si>
  <si>
    <t xml:space="preserve">Grid Tie Inverter </t>
  </si>
  <si>
    <t>Grid tied 6 Kw</t>
  </si>
  <si>
    <t>Solis</t>
  </si>
  <si>
    <t>No</t>
  </si>
  <si>
    <t>As  per quote</t>
  </si>
  <si>
    <t>Panel Mounting Structure</t>
  </si>
  <si>
    <t>GI Structure for 6kWp</t>
  </si>
  <si>
    <t>Set</t>
  </si>
  <si>
    <t>Approx Rs.6/Wp</t>
  </si>
  <si>
    <t xml:space="preserve">MC-4 Connector </t>
  </si>
  <si>
    <t xml:space="preserve">IP67 Grade Male+Female+lugs </t>
  </si>
  <si>
    <t>as per standard</t>
  </si>
  <si>
    <t>Rs.50/set</t>
  </si>
  <si>
    <t>DC Cable</t>
  </si>
  <si>
    <t>4sq.mm * 1C</t>
  </si>
  <si>
    <t>meter</t>
  </si>
  <si>
    <t>Rs.40/mtr</t>
  </si>
  <si>
    <t>AC Cable</t>
  </si>
  <si>
    <t xml:space="preserve">6sq.mm * 4C- Cu. </t>
  </si>
  <si>
    <t>Rs.250/mtr</t>
  </si>
  <si>
    <t>Earthing</t>
  </si>
  <si>
    <t>Copper Cable</t>
  </si>
  <si>
    <t>Rs.28/mtr</t>
  </si>
  <si>
    <t>ACDB</t>
  </si>
  <si>
    <t>1IN 1OUT</t>
  </si>
  <si>
    <t>Aprrox</t>
  </si>
  <si>
    <t>DCDB</t>
  </si>
  <si>
    <t>Lugs</t>
  </si>
  <si>
    <t>Pin Type copper lugs heavy duty -6 sqmm</t>
  </si>
  <si>
    <t>Rs.35/pc</t>
  </si>
  <si>
    <t>Ring  Type copper lugs heavy duty -6 sqmm</t>
  </si>
  <si>
    <t xml:space="preserve">Cable Ties </t>
  </si>
  <si>
    <t>300 x 4.6mm Black</t>
  </si>
  <si>
    <t>pkt</t>
  </si>
  <si>
    <t>Rs.150/pkt</t>
  </si>
  <si>
    <t>Safety Signage Boards</t>
  </si>
  <si>
    <t>AC,DC Signage Boards</t>
  </si>
  <si>
    <t>NA</t>
  </si>
  <si>
    <t xml:space="preserve">PVC Conduit Pipe </t>
  </si>
  <si>
    <t>1"</t>
  </si>
  <si>
    <t>Rs.125/mtr</t>
  </si>
  <si>
    <t>PVC 1"</t>
  </si>
  <si>
    <t>1"Bend</t>
  </si>
  <si>
    <t xml:space="preserve"> Collar</t>
  </si>
  <si>
    <t>Flexible Pipe</t>
  </si>
  <si>
    <t>Meter</t>
  </si>
  <si>
    <t>Tape</t>
  </si>
  <si>
    <t>4 colour</t>
  </si>
  <si>
    <t>pcs</t>
  </si>
  <si>
    <t>Nut &amp; bolt</t>
  </si>
  <si>
    <t>as per requirement</t>
  </si>
  <si>
    <t>Earthing Kit</t>
  </si>
  <si>
    <t>10 kg chemical -1.5 mtr copper rod , chamber, chemical</t>
  </si>
  <si>
    <t>Lightning Arrestor</t>
  </si>
  <si>
    <t>no</t>
  </si>
  <si>
    <t>U clamp</t>
  </si>
  <si>
    <t>1" for PVC pipe</t>
  </si>
  <si>
    <t>Miscellaneous</t>
  </si>
  <si>
    <t>Walkway</t>
  </si>
  <si>
    <t>273mm X 25mm X 3.6m; &amp; 4 set for clamp &amp; self-screew</t>
  </si>
  <si>
    <t>mts</t>
  </si>
  <si>
    <t>LABOUR CHARGES</t>
  </si>
  <si>
    <t>Panel Mounting</t>
  </si>
  <si>
    <t>watt</t>
  </si>
  <si>
    <t>Rs.3/Wp</t>
  </si>
  <si>
    <t>Electrical Workmanship</t>
  </si>
  <si>
    <t>TRANSPORTATION</t>
  </si>
  <si>
    <t>Solar Panels</t>
  </si>
  <si>
    <t>Lump Sum</t>
  </si>
  <si>
    <t>LS</t>
  </si>
  <si>
    <t>Inverters</t>
  </si>
  <si>
    <t>ACDB, DCDB, Combiner Box</t>
  </si>
  <si>
    <t>Energy Meter</t>
  </si>
  <si>
    <t>Other electrical Items</t>
  </si>
  <si>
    <t>Mounting Structure</t>
  </si>
  <si>
    <t>Export Device(Liasoning work)</t>
  </si>
  <si>
    <t>Device 6KW</t>
  </si>
  <si>
    <t>RS485 cable &amp; other components</t>
  </si>
  <si>
    <t>Total</t>
  </si>
  <si>
    <t>GST</t>
  </si>
  <si>
    <t>Total including GST</t>
  </si>
  <si>
    <t>Cost calculation</t>
  </si>
  <si>
    <r>
      <rPr>
        <b/>
        <sz val="11"/>
        <color theme="1"/>
        <rFont val="Calibri"/>
        <family val="2"/>
        <scheme val="minor"/>
      </rPr>
      <t>Logic:</t>
    </r>
    <r>
      <rPr>
        <sz val="11"/>
        <color theme="1"/>
        <rFont val="Calibri"/>
        <family val="2"/>
        <scheme val="minor"/>
      </rPr>
      <t xml:space="preserve"> User gets four options : 1. Residential 2.Commercial ( hospital,shopping complex,hotels etc) 3.Industrial (Factories) 4.Apartment complex or Gated community (Resident welfare association)</t>
    </r>
  </si>
  <si>
    <r>
      <t xml:space="preserve">Logic: </t>
    </r>
    <r>
      <rPr>
        <sz val="11"/>
        <color theme="1"/>
        <rFont val="Calibri"/>
        <family val="2"/>
        <scheme val="minor"/>
      </rPr>
      <t>Depending on whether user chooses sheet roof or RCC roof the type of structure is chosen in the backend and cost is calculated.</t>
    </r>
  </si>
  <si>
    <r>
      <t xml:space="preserve">Logic: User gets two options : </t>
    </r>
    <r>
      <rPr>
        <sz val="11"/>
        <color theme="1"/>
        <rFont val="Calibri"/>
        <family val="2"/>
        <scheme val="minor"/>
      </rPr>
      <t>1.Sheet roof 2. RCC Roof</t>
    </r>
  </si>
  <si>
    <r>
      <t xml:space="preserve">Logic : </t>
    </r>
    <r>
      <rPr>
        <sz val="11"/>
        <color theme="1"/>
        <rFont val="Calibri"/>
        <family val="2"/>
        <scheme val="minor"/>
      </rPr>
      <t>If user clicks on option 1 or option 4 - display " you are eligible for govt subsidy, would you like to avail?", user gets two options : Yes or No, If user clicks on Yes then subsidy rates shall be applied and subsidy amount shall be calculated as per govt norms and this amount shall be considered in the ROI calculations, if user clicks no then non subsidy rates shall be applied to calculate system cost and the same shall be considered in the ROI calculations.</t>
    </r>
  </si>
  <si>
    <t>580 Topcon</t>
  </si>
  <si>
    <t>Panel calculation</t>
  </si>
  <si>
    <t>Number of Panels = Sanctioned Load in W / Wattage per panel in W</t>
  </si>
  <si>
    <t>ex: sanctioned load is 3Kw which is 3x1000W = 3000W, panel wattage is 580 W.</t>
  </si>
  <si>
    <t>Number of Panels = 3000W / 580W= 5.17, rounded of to 5Nos</t>
  </si>
  <si>
    <t>Inverter size calculation</t>
  </si>
  <si>
    <t>For the purpose of calculation, panels have been considered as EMMVEE brand and Inverter has been considered as Solis inverter. Panel wattage shall be considered as 580W standard and available inverter sizes shall be considered, the list of which shall be provided.</t>
  </si>
  <si>
    <t>Inverter size = total wattage of panels/1.25, but consider the nearest available inverter in the market. The list of available inverters in the market shall be provided.</t>
  </si>
  <si>
    <t>Number of panels required is 5 Nos, total wattage= 5x580W = 2900W</t>
  </si>
  <si>
    <t>Inverter size= 2900W/1.25 =2320W=2.32/kw</t>
  </si>
  <si>
    <t>available size of inverter is 3kw, so choose 3kw.</t>
  </si>
  <si>
    <t>Structure</t>
  </si>
  <si>
    <t>Consider Rs.8 per W as structure cost.</t>
  </si>
  <si>
    <t>ex: sanctioned load is 3Kw which is 3x1000W = 3000W.</t>
  </si>
  <si>
    <t>structure cost would be Rs.8x3000= Rs.24000</t>
  </si>
  <si>
    <t>Bidirectional meter: single phase,3phase,CT</t>
  </si>
  <si>
    <t>Depending on the solar system size, single phase,3phase or CT meter is selected.</t>
  </si>
  <si>
    <t>Costing and data sheet shall be provided.</t>
  </si>
  <si>
    <t>Sample backend calculation</t>
  </si>
  <si>
    <t>Remarks</t>
  </si>
  <si>
    <r>
      <rPr>
        <sz val="30"/>
        <color rgb="FFF1F1F1"/>
        <rFont val="Algerian"/>
      </rPr>
      <t>ROI Calculation</t>
    </r>
  </si>
  <si>
    <r>
      <rPr>
        <b/>
        <sz val="11"/>
        <rFont val="Calibri"/>
        <family val="2"/>
      </rPr>
      <t>SOLAR Cost Benefit Analysis</t>
    </r>
  </si>
  <si>
    <r>
      <rPr>
        <b/>
        <sz val="8.5"/>
        <rFont val="Calibri"/>
        <family val="2"/>
      </rPr>
      <t>Project Cost Analysis</t>
    </r>
  </si>
  <si>
    <r>
      <rPr>
        <b/>
        <sz val="8.5"/>
        <rFont val="Calibri"/>
        <family val="2"/>
      </rPr>
      <t>TAX BENEFIT</t>
    </r>
  </si>
  <si>
    <r>
      <rPr>
        <b/>
        <sz val="8.5"/>
        <rFont val="Calibri"/>
        <family val="2"/>
      </rPr>
      <t>GST BENEFIT</t>
    </r>
  </si>
  <si>
    <r>
      <rPr>
        <sz val="7.5"/>
        <rFont val="Calibri"/>
        <family val="2"/>
      </rPr>
      <t>Project Size</t>
    </r>
  </si>
  <si>
    <r>
      <rPr>
        <sz val="7.5"/>
        <rFont val="Calibri"/>
        <family val="2"/>
      </rPr>
      <t>KWp</t>
    </r>
  </si>
  <si>
    <r>
      <rPr>
        <b/>
        <sz val="7.5"/>
        <rFont val="Calibri"/>
        <family val="2"/>
      </rPr>
      <t>Accelerated Depreciation</t>
    </r>
  </si>
  <si>
    <r>
      <rPr>
        <b/>
        <sz val="7.5"/>
        <rFont val="Calibri"/>
        <family val="2"/>
      </rPr>
      <t>GST Benefit Calimed @13.8%</t>
    </r>
  </si>
  <si>
    <r>
      <rPr>
        <b/>
        <sz val="7.5"/>
        <rFont val="Calibri"/>
        <family val="2"/>
      </rPr>
      <t>Cost of Project</t>
    </r>
  </si>
  <si>
    <r>
      <rPr>
        <b/>
        <sz val="7.5"/>
        <rFont val="Calibri"/>
        <family val="2"/>
      </rPr>
      <t>Rs.</t>
    </r>
  </si>
  <si>
    <r>
      <rPr>
        <b/>
        <sz val="7.5"/>
        <rFont val="Calibri"/>
        <family val="2"/>
      </rPr>
      <t>Year</t>
    </r>
  </si>
  <si>
    <r>
      <rPr>
        <sz val="7.5"/>
        <rFont val="Calibri"/>
        <family val="2"/>
      </rPr>
      <t>1st year</t>
    </r>
  </si>
  <si>
    <r>
      <rPr>
        <sz val="7.5"/>
        <rFont val="Calibri"/>
        <family val="2"/>
      </rPr>
      <t>2nd year</t>
    </r>
  </si>
  <si>
    <r>
      <rPr>
        <sz val="7.5"/>
        <rFont val="Calibri"/>
        <family val="2"/>
      </rPr>
      <t>3rd year</t>
    </r>
  </si>
  <si>
    <r>
      <rPr>
        <sz val="7.5"/>
        <rFont val="Calibri"/>
        <family val="2"/>
      </rPr>
      <t>4th year</t>
    </r>
  </si>
  <si>
    <r>
      <rPr>
        <sz val="7.5"/>
        <rFont val="Calibri"/>
        <family val="2"/>
      </rPr>
      <t>5th year</t>
    </r>
  </si>
  <si>
    <r>
      <rPr>
        <sz val="7.5"/>
        <rFont val="Calibri"/>
        <family val="2"/>
      </rPr>
      <t>1st Year</t>
    </r>
  </si>
  <si>
    <r>
      <rPr>
        <sz val="7.5"/>
        <rFont val="Calibri"/>
        <family val="2"/>
      </rPr>
      <t>Power Tariff -EB ate</t>
    </r>
  </si>
  <si>
    <r>
      <rPr>
        <sz val="7.5"/>
        <rFont val="Calibri"/>
        <family val="2"/>
      </rPr>
      <t>Rs. / Unit</t>
    </r>
  </si>
  <si>
    <r>
      <rPr>
        <b/>
        <sz val="7.5"/>
        <rFont val="Calibri"/>
        <family val="2"/>
      </rPr>
      <t>%</t>
    </r>
  </si>
  <si>
    <r>
      <rPr>
        <b/>
        <sz val="7.5"/>
        <rFont val="Calibri"/>
        <family val="2"/>
      </rPr>
      <t>Total Project Cost inclding Tax</t>
    </r>
  </si>
  <si>
    <r>
      <rPr>
        <b/>
        <sz val="7.5"/>
        <rFont val="Calibri"/>
        <family val="2"/>
      </rPr>
      <t>with GST</t>
    </r>
  </si>
  <si>
    <r>
      <rPr>
        <sz val="7.5"/>
        <rFont val="Calibri"/>
        <family val="2"/>
      </rPr>
      <t>Monthly Units by solar system</t>
    </r>
  </si>
  <si>
    <r>
      <rPr>
        <sz val="7.5"/>
        <rFont val="Calibri"/>
        <family val="2"/>
      </rPr>
      <t>KWh</t>
    </r>
  </si>
  <si>
    <r>
      <rPr>
        <sz val="7.5"/>
        <rFont val="Calibri"/>
        <family val="2"/>
      </rPr>
      <t>Unit produced by Solar system 1st Year</t>
    </r>
  </si>
  <si>
    <r>
      <rPr>
        <sz val="7.5"/>
        <rFont val="Calibri"/>
        <family val="2"/>
      </rPr>
      <t>kWh</t>
    </r>
  </si>
  <si>
    <r>
      <rPr>
        <sz val="7.5"/>
        <rFont val="Calibri"/>
        <family val="2"/>
      </rPr>
      <t>Rate of appreciation EB Rate per year</t>
    </r>
  </si>
  <si>
    <r>
      <rPr>
        <sz val="7.5"/>
        <rFont val="Calibri"/>
        <family val="2"/>
      </rPr>
      <t>Rate of O&amp;M (% of project cost)</t>
    </r>
  </si>
  <si>
    <r>
      <rPr>
        <sz val="7.5"/>
        <rFont val="Calibri"/>
        <family val="2"/>
      </rPr>
      <t>Rate of increase of O&amp;M/year</t>
    </r>
  </si>
  <si>
    <r>
      <rPr>
        <b/>
        <sz val="7.5"/>
        <rFont val="Calibri"/>
        <family val="2"/>
      </rPr>
      <t>Investment</t>
    </r>
  </si>
  <si>
    <r>
      <rPr>
        <b/>
        <sz val="7.5"/>
        <rFont val="Calibri"/>
        <family val="2"/>
      </rPr>
      <t>Year 1</t>
    </r>
  </si>
  <si>
    <r>
      <rPr>
        <b/>
        <sz val="7.5"/>
        <rFont val="Calibri"/>
        <family val="2"/>
      </rPr>
      <t>Year 2</t>
    </r>
  </si>
  <si>
    <r>
      <rPr>
        <b/>
        <sz val="7.5"/>
        <rFont val="Calibri"/>
        <family val="2"/>
      </rPr>
      <t>Year 3</t>
    </r>
  </si>
  <si>
    <r>
      <rPr>
        <b/>
        <sz val="7.5"/>
        <rFont val="Calibri"/>
        <family val="2"/>
      </rPr>
      <t>Year 4</t>
    </r>
  </si>
  <si>
    <r>
      <rPr>
        <b/>
        <sz val="7.5"/>
        <rFont val="Calibri"/>
        <family val="2"/>
      </rPr>
      <t>Year 5</t>
    </r>
  </si>
  <si>
    <r>
      <rPr>
        <b/>
        <sz val="7.5"/>
        <rFont val="Calibri"/>
        <family val="2"/>
      </rPr>
      <t>Year 6</t>
    </r>
  </si>
  <si>
    <r>
      <rPr>
        <b/>
        <sz val="7.5"/>
        <rFont val="Calibri"/>
        <family val="2"/>
      </rPr>
      <t>Year 7</t>
    </r>
  </si>
  <si>
    <r>
      <rPr>
        <b/>
        <sz val="7.5"/>
        <rFont val="Calibri"/>
        <family val="2"/>
      </rPr>
      <t>Year 8</t>
    </r>
  </si>
  <si>
    <r>
      <rPr>
        <b/>
        <sz val="7.5"/>
        <rFont val="Calibri"/>
        <family val="2"/>
      </rPr>
      <t>Year 9</t>
    </r>
  </si>
  <si>
    <r>
      <rPr>
        <b/>
        <sz val="7.5"/>
        <rFont val="Calibri"/>
        <family val="2"/>
      </rPr>
      <t>Year 10</t>
    </r>
  </si>
  <si>
    <r>
      <rPr>
        <b/>
        <sz val="7.5"/>
        <rFont val="Calibri"/>
        <family val="2"/>
      </rPr>
      <t>Year 11</t>
    </r>
  </si>
  <si>
    <r>
      <rPr>
        <b/>
        <sz val="7.5"/>
        <rFont val="Calibri"/>
        <family val="2"/>
      </rPr>
      <t>Year 12</t>
    </r>
  </si>
  <si>
    <r>
      <rPr>
        <b/>
        <sz val="7.5"/>
        <rFont val="Calibri"/>
        <family val="2"/>
      </rPr>
      <t>Year 13</t>
    </r>
  </si>
  <si>
    <r>
      <rPr>
        <b/>
        <sz val="7.5"/>
        <rFont val="Calibri"/>
        <family val="2"/>
      </rPr>
      <t>Year 14</t>
    </r>
  </si>
  <si>
    <r>
      <rPr>
        <b/>
        <sz val="7.5"/>
        <rFont val="Calibri"/>
        <family val="2"/>
      </rPr>
      <t>Year 15</t>
    </r>
  </si>
  <si>
    <r>
      <rPr>
        <b/>
        <sz val="7.5"/>
        <rFont val="Calibri"/>
        <family val="2"/>
      </rPr>
      <t>Year 16</t>
    </r>
    <r>
      <rPr>
        <sz val="11"/>
        <color theme="1"/>
        <rFont val="Calibri"/>
        <family val="2"/>
        <scheme val="minor"/>
      </rPr>
      <t/>
    </r>
  </si>
  <si>
    <r>
      <rPr>
        <b/>
        <sz val="7.5"/>
        <rFont val="Calibri"/>
        <family val="2"/>
      </rPr>
      <t>Year 17</t>
    </r>
    <r>
      <rPr>
        <sz val="11"/>
        <color theme="1"/>
        <rFont val="Calibri"/>
        <family val="2"/>
        <scheme val="minor"/>
      </rPr>
      <t/>
    </r>
  </si>
  <si>
    <r>
      <rPr>
        <b/>
        <sz val="7.5"/>
        <rFont val="Calibri"/>
        <family val="2"/>
      </rPr>
      <t>Year 18</t>
    </r>
    <r>
      <rPr>
        <sz val="11"/>
        <color theme="1"/>
        <rFont val="Calibri"/>
        <family val="2"/>
        <scheme val="minor"/>
      </rPr>
      <t/>
    </r>
  </si>
  <si>
    <r>
      <rPr>
        <b/>
        <sz val="7.5"/>
        <rFont val="Calibri"/>
        <family val="2"/>
      </rPr>
      <t>Year 19</t>
    </r>
    <r>
      <rPr>
        <sz val="11"/>
        <color theme="1"/>
        <rFont val="Calibri"/>
        <family val="2"/>
        <scheme val="minor"/>
      </rPr>
      <t/>
    </r>
  </si>
  <si>
    <r>
      <rPr>
        <b/>
        <sz val="7.5"/>
        <rFont val="Calibri"/>
        <family val="2"/>
      </rPr>
      <t>Year 20</t>
    </r>
    <r>
      <rPr>
        <sz val="11"/>
        <color theme="1"/>
        <rFont val="Calibri"/>
        <family val="2"/>
        <scheme val="minor"/>
      </rPr>
      <t/>
    </r>
  </si>
  <si>
    <r>
      <rPr>
        <b/>
        <sz val="7.5"/>
        <rFont val="Calibri"/>
        <family val="2"/>
      </rPr>
      <t>Year 21</t>
    </r>
    <r>
      <rPr>
        <sz val="11"/>
        <color theme="1"/>
        <rFont val="Calibri"/>
        <family val="2"/>
        <scheme val="minor"/>
      </rPr>
      <t/>
    </r>
  </si>
  <si>
    <r>
      <rPr>
        <b/>
        <sz val="7.5"/>
        <rFont val="Calibri"/>
        <family val="2"/>
      </rPr>
      <t>Year 22</t>
    </r>
    <r>
      <rPr>
        <sz val="11"/>
        <color theme="1"/>
        <rFont val="Calibri"/>
        <family val="2"/>
        <scheme val="minor"/>
      </rPr>
      <t/>
    </r>
  </si>
  <si>
    <r>
      <rPr>
        <b/>
        <sz val="7.5"/>
        <rFont val="Calibri"/>
        <family val="2"/>
      </rPr>
      <t>Year 23</t>
    </r>
    <r>
      <rPr>
        <sz val="11"/>
        <color theme="1"/>
        <rFont val="Calibri"/>
        <family val="2"/>
        <scheme val="minor"/>
      </rPr>
      <t/>
    </r>
  </si>
  <si>
    <r>
      <rPr>
        <b/>
        <sz val="7.5"/>
        <rFont val="Calibri"/>
        <family val="2"/>
      </rPr>
      <t>Year 24</t>
    </r>
    <r>
      <rPr>
        <sz val="11"/>
        <color theme="1"/>
        <rFont val="Calibri"/>
        <family val="2"/>
        <scheme val="minor"/>
      </rPr>
      <t/>
    </r>
  </si>
  <si>
    <r>
      <rPr>
        <b/>
        <sz val="7.5"/>
        <rFont val="Calibri"/>
        <family val="2"/>
      </rPr>
      <t>Year 25</t>
    </r>
    <r>
      <rPr>
        <sz val="11"/>
        <color theme="1"/>
        <rFont val="Calibri"/>
        <family val="2"/>
        <scheme val="minor"/>
      </rPr>
      <t/>
    </r>
  </si>
  <si>
    <r>
      <rPr>
        <sz val="7.5"/>
        <rFont val="Calibri"/>
        <family val="2"/>
      </rPr>
      <t>DISCOM per Unit rate (In INR)</t>
    </r>
  </si>
  <si>
    <r>
      <rPr>
        <sz val="7.5"/>
        <rFont val="Calibri"/>
        <family val="2"/>
      </rPr>
      <t>Units generated from Solar Plant</t>
    </r>
  </si>
  <si>
    <r>
      <rPr>
        <sz val="7.5"/>
        <rFont val="Calibri"/>
        <family val="2"/>
      </rPr>
      <t>Revenue Generated (In Lakh)</t>
    </r>
  </si>
  <si>
    <r>
      <rPr>
        <sz val="7.5"/>
        <rFont val="Calibri"/>
        <family val="2"/>
      </rPr>
      <t>EMI Paid Annual</t>
    </r>
  </si>
  <si>
    <r>
      <rPr>
        <sz val="7.5"/>
        <rFont val="Calibri"/>
        <family val="2"/>
      </rPr>
      <t>Capital Investment (In Lakh)</t>
    </r>
  </si>
  <si>
    <r>
      <rPr>
        <sz val="7.5"/>
        <rFont val="Calibri"/>
        <family val="2"/>
      </rPr>
      <t>O&amp;M Cost (In Lakh)</t>
    </r>
  </si>
  <si>
    <r>
      <rPr>
        <sz val="7.5"/>
        <rFont val="Calibri"/>
        <family val="2"/>
      </rPr>
      <t>Opening Balance</t>
    </r>
  </si>
  <si>
    <r>
      <rPr>
        <sz val="7.5"/>
        <rFont val="Calibri"/>
        <family val="2"/>
      </rPr>
      <t>Accelerated Tax Depreciation</t>
    </r>
  </si>
  <si>
    <r>
      <rPr>
        <sz val="7.5"/>
        <rFont val="Calibri"/>
        <family val="2"/>
      </rPr>
      <t>Closing Balance</t>
    </r>
  </si>
  <si>
    <r>
      <rPr>
        <sz val="7.5"/>
        <rFont val="Calibri"/>
        <family val="2"/>
      </rPr>
      <t>Net Tax Benefit</t>
    </r>
  </si>
  <si>
    <r>
      <rPr>
        <sz val="7.5"/>
        <rFont val="Calibri"/>
        <family val="2"/>
      </rPr>
      <t>GST Claim Beneit</t>
    </r>
  </si>
  <si>
    <r>
      <rPr>
        <sz val="7.5"/>
        <rFont val="Calibri"/>
        <family val="2"/>
      </rPr>
      <t>Net Cash Flow in Lakh</t>
    </r>
  </si>
  <si>
    <r>
      <rPr>
        <sz val="7.5"/>
        <rFont val="Calibri"/>
        <family val="2"/>
      </rPr>
      <t>Accumulated Cashflow in Lakh</t>
    </r>
  </si>
  <si>
    <r>
      <rPr>
        <sz val="7.5"/>
        <rFont val="Calibri"/>
        <family val="2"/>
      </rPr>
      <t>Year</t>
    </r>
  </si>
  <si>
    <r>
      <rPr>
        <b/>
        <sz val="7.5"/>
        <rFont val="Calibri"/>
        <family val="2"/>
      </rPr>
      <t>IRR</t>
    </r>
  </si>
  <si>
    <r>
      <rPr>
        <b/>
        <sz val="7.5"/>
        <rFont val="Calibri"/>
        <family val="2"/>
      </rPr>
      <t>NPV</t>
    </r>
  </si>
  <si>
    <r>
      <rPr>
        <sz val="7.5"/>
        <rFont val="Calibri"/>
        <family val="2"/>
      </rPr>
      <t>Lakh INR</t>
    </r>
  </si>
  <si>
    <r>
      <rPr>
        <b/>
        <sz val="7.5"/>
        <rFont val="Calibri"/>
        <family val="2"/>
      </rPr>
      <t>ROI- Return On Investment</t>
    </r>
  </si>
  <si>
    <r>
      <rPr>
        <b/>
        <sz val="7.5"/>
        <rFont val="Calibri"/>
        <family val="2"/>
      </rPr>
      <t>Years</t>
    </r>
  </si>
  <si>
    <r>
      <rPr>
        <b/>
        <sz val="7.5"/>
        <rFont val="Calibri"/>
        <family val="2"/>
      </rPr>
      <t>23 YEARS FREE ELECTRICITY &amp; MAINTANCE COST YOU CAN CONSDIER .80 Paise PER UNIT FOR REST PERIOD</t>
    </r>
  </si>
  <si>
    <r>
      <rPr>
        <b/>
        <sz val="7.5"/>
        <rFont val="Calibri"/>
        <family val="2"/>
      </rPr>
      <t>Lifetime Saving (in Lakh)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</si>
</sst>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_-* #,##0.00_-;\-* #,##0.00_-;_-* &quot;-&quot;??_-;_-@_-"/>
    <numFmt numFmtId="165" formatCode="0.000000"/>
    <numFmt numFmtId="166" formatCode="0.0%"/>
    <numFmt numFmtId="167" formatCode="0.0"/>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Times New Roman"/>
      <charset val="204"/>
    </font>
    <font>
      <sz val="30"/>
      <name val="Algerian"/>
    </font>
    <font>
      <sz val="30"/>
      <color rgb="FFF1F1F1"/>
      <name val="Algerian"/>
    </font>
    <font>
      <b/>
      <sz val="11"/>
      <name val="Calibri"/>
    </font>
    <font>
      <b/>
      <sz val="11"/>
      <name val="Calibri"/>
      <family val="2"/>
    </font>
    <font>
      <b/>
      <sz val="8.5"/>
      <name val="Calibri"/>
    </font>
    <font>
      <b/>
      <sz val="8.5"/>
      <name val="Calibri"/>
      <family val="2"/>
    </font>
    <font>
      <sz val="7.5"/>
      <name val="Calibri"/>
    </font>
    <font>
      <sz val="7.5"/>
      <name val="Calibri"/>
      <family val="2"/>
    </font>
    <font>
      <b/>
      <sz val="7.5"/>
      <color rgb="FF000000"/>
      <name val="Calibri"/>
      <family val="2"/>
    </font>
    <font>
      <b/>
      <sz val="7.5"/>
      <name val="Calibri"/>
    </font>
    <font>
      <b/>
      <sz val="7.5"/>
      <name val="Calibri"/>
      <family val="2"/>
    </font>
    <font>
      <sz val="7.5"/>
      <color rgb="FF000000"/>
      <name val="Calibri"/>
      <family val="2"/>
    </font>
    <font>
      <sz val="7.5"/>
      <color rgb="FF9C0005"/>
      <name val="Calibri"/>
      <family val="2"/>
    </font>
    <font>
      <sz val="7.5"/>
      <color rgb="FF006000"/>
      <name val="Calibri"/>
      <family val="2"/>
    </font>
  </fonts>
  <fills count="18">
    <fill>
      <patternFill patternType="none"/>
    </fill>
    <fill>
      <patternFill patternType="gray125"/>
    </fill>
    <fill>
      <patternFill patternType="solid">
        <fgColor rgb="FFFFFF00"/>
        <bgColor indexed="64"/>
      </patternFill>
    </fill>
    <fill>
      <patternFill patternType="solid">
        <fgColor rgb="FF5F4879"/>
      </patternFill>
    </fill>
    <fill>
      <patternFill patternType="solid">
        <fgColor rgb="FF92D050"/>
      </patternFill>
    </fill>
    <fill>
      <patternFill patternType="solid">
        <fgColor rgb="FFFFFF00"/>
      </patternFill>
    </fill>
    <fill>
      <patternFill patternType="solid">
        <fgColor rgb="FFFFC000"/>
      </patternFill>
    </fill>
    <fill>
      <patternFill patternType="solid">
        <fgColor rgb="FFFCE9D9"/>
      </patternFill>
    </fill>
    <fill>
      <patternFill patternType="solid">
        <fgColor rgb="FFDDD9C4"/>
      </patternFill>
    </fill>
    <fill>
      <patternFill patternType="solid">
        <fgColor rgb="FFB7DEE8"/>
      </patternFill>
    </fill>
    <fill>
      <patternFill patternType="solid">
        <fgColor rgb="FFDCE6F0"/>
      </patternFill>
    </fill>
    <fill>
      <patternFill patternType="solid">
        <fgColor rgb="FF53FF5F"/>
      </patternFill>
    </fill>
    <fill>
      <patternFill patternType="solid">
        <fgColor rgb="FFE6B8B7"/>
      </patternFill>
    </fill>
    <fill>
      <patternFill patternType="solid">
        <fgColor rgb="FFD7E3BB"/>
      </patternFill>
    </fill>
    <fill>
      <patternFill patternType="solid">
        <fgColor rgb="FFFBD4B4"/>
      </patternFill>
    </fill>
    <fill>
      <patternFill patternType="solid">
        <fgColor rgb="FFFFC6CE"/>
      </patternFill>
    </fill>
    <fill>
      <patternFill patternType="solid">
        <fgColor rgb="FFC5EECE"/>
      </patternFill>
    </fill>
    <fill>
      <patternFill patternType="solid">
        <fgColor rgb="FFC5D9F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164" fontId="1" fillId="0" borderId="0" applyFont="0" applyFill="0" applyBorder="0" applyAlignment="0" applyProtection="0"/>
    <xf numFmtId="0" fontId="3" fillId="0" borderId="0"/>
  </cellStyleXfs>
  <cellXfs count="149">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2" fillId="0" borderId="0" xfId="0" applyFont="1"/>
    <xf numFmtId="0" fontId="2" fillId="0" borderId="0" xfId="0" applyFont="1" applyAlignment="1">
      <alignment wrapText="1"/>
    </xf>
    <xf numFmtId="0" fontId="2" fillId="0" borderId="0"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xf>
    <xf numFmtId="0" fontId="2" fillId="0" borderId="1" xfId="0" applyFont="1" applyFill="1" applyBorder="1" applyAlignment="1"/>
    <xf numFmtId="0" fontId="2" fillId="0" borderId="1" xfId="0" applyFont="1" applyFill="1" applyBorder="1" applyAlignment="1">
      <alignment horizontal="right" vertical="center"/>
    </xf>
    <xf numFmtId="0" fontId="2" fillId="2" borderId="1" xfId="0" applyFont="1" applyFill="1" applyBorder="1" applyAlignment="1">
      <alignment horizontal="right" vertical="center"/>
    </xf>
    <xf numFmtId="0" fontId="2" fillId="0" borderId="1" xfId="0" applyFont="1" applyBorder="1" applyAlignment="1">
      <alignment horizontal="center"/>
    </xf>
    <xf numFmtId="0" fontId="0" fillId="0" borderId="1" xfId="0" applyFill="1" applyBorder="1" applyAlignment="1">
      <alignment horizontal="center" vertical="center"/>
    </xf>
    <xf numFmtId="0" fontId="0" fillId="0" borderId="1" xfId="0" applyFill="1" applyBorder="1" applyAlignment="1">
      <alignment vertical="center"/>
    </xf>
    <xf numFmtId="0" fontId="0" fillId="0" borderId="1" xfId="0" applyFill="1" applyBorder="1" applyAlignment="1">
      <alignment horizontal="left"/>
    </xf>
    <xf numFmtId="0" fontId="0" fillId="0" borderId="1" xfId="0" applyFill="1" applyBorder="1" applyAlignment="1"/>
    <xf numFmtId="164" fontId="1" fillId="0" borderId="1" xfId="1" applyFont="1" applyFill="1" applyBorder="1" applyAlignment="1">
      <alignment horizontal="right" vertical="center"/>
    </xf>
    <xf numFmtId="164" fontId="1" fillId="0" borderId="1" xfId="1" applyFont="1" applyFill="1" applyBorder="1" applyAlignment="1">
      <alignment horizontal="center" vertical="center"/>
    </xf>
    <xf numFmtId="164" fontId="1" fillId="2" borderId="1" xfId="1" applyFont="1" applyFill="1" applyBorder="1" applyAlignment="1">
      <alignment horizontal="right" vertical="center"/>
    </xf>
    <xf numFmtId="9" fontId="0" fillId="0" borderId="1" xfId="0" applyNumberFormat="1" applyBorder="1" applyAlignment="1">
      <alignment horizontal="center"/>
    </xf>
    <xf numFmtId="43" fontId="0" fillId="0" borderId="1" xfId="0" applyNumberFormat="1" applyBorder="1" applyAlignment="1">
      <alignment horizontal="center"/>
    </xf>
    <xf numFmtId="0" fontId="0" fillId="0" borderId="1" xfId="0" applyFill="1" applyBorder="1" applyAlignment="1">
      <alignment horizontal="left" wrapText="1"/>
    </xf>
    <xf numFmtId="0" fontId="0" fillId="0" borderId="1" xfId="0" applyFill="1" applyBorder="1" applyAlignment="1">
      <alignment vertical="center" wrapText="1"/>
    </xf>
    <xf numFmtId="0" fontId="0" fillId="0" borderId="1" xfId="0" applyFill="1" applyBorder="1" applyAlignment="1">
      <alignment horizontal="left" vertical="center" wrapText="1"/>
    </xf>
    <xf numFmtId="164" fontId="1" fillId="0" borderId="1" xfId="1" applyFont="1" applyFill="1" applyBorder="1" applyAlignment="1">
      <alignment horizontal="right" vertical="center" wrapText="1"/>
    </xf>
    <xf numFmtId="0" fontId="0" fillId="0" borderId="1" xfId="0" applyFont="1" applyFill="1" applyBorder="1" applyAlignment="1">
      <alignment vertical="top"/>
    </xf>
    <xf numFmtId="0" fontId="0" fillId="0" borderId="1" xfId="0" applyFill="1" applyBorder="1" applyAlignment="1">
      <alignment horizontal="left" vertical="top" wrapText="1"/>
    </xf>
    <xf numFmtId="164" fontId="1" fillId="0" borderId="1" xfId="1" applyFont="1" applyFill="1" applyBorder="1" applyAlignment="1">
      <alignment horizontal="right" vertical="top"/>
    </xf>
    <xf numFmtId="164" fontId="1" fillId="2" borderId="1" xfId="1" applyFont="1" applyFill="1" applyBorder="1" applyAlignment="1">
      <alignment horizontal="right" vertical="top"/>
    </xf>
    <xf numFmtId="0" fontId="0" fillId="0" borderId="1" xfId="0" applyFont="1" applyFill="1" applyBorder="1" applyAlignment="1">
      <alignment vertical="center"/>
    </xf>
    <xf numFmtId="0" fontId="0" fillId="0" borderId="1" xfId="0" applyFont="1" applyFill="1" applyBorder="1" applyAlignment="1">
      <alignment horizontal="left" vertical="center" wrapText="1"/>
    </xf>
    <xf numFmtId="0" fontId="2" fillId="0" borderId="1" xfId="0" applyFont="1" applyFill="1" applyBorder="1" applyAlignment="1">
      <alignment vertical="center"/>
    </xf>
    <xf numFmtId="164" fontId="2" fillId="2" borderId="1" xfId="1" applyFont="1" applyFill="1" applyBorder="1" applyAlignment="1">
      <alignment horizontal="right" vertical="center"/>
    </xf>
    <xf numFmtId="0" fontId="0" fillId="2" borderId="1" xfId="0" applyFill="1" applyBorder="1" applyAlignment="1">
      <alignment horizontal="right"/>
    </xf>
    <xf numFmtId="0" fontId="2" fillId="2" borderId="1" xfId="0" applyFont="1" applyFill="1" applyBorder="1" applyAlignment="1">
      <alignment horizontal="center"/>
    </xf>
    <xf numFmtId="164" fontId="2" fillId="2" borderId="1" xfId="0" applyNumberFormat="1" applyFont="1" applyFill="1" applyBorder="1" applyAlignment="1">
      <alignment horizontal="right"/>
    </xf>
    <xf numFmtId="164" fontId="2" fillId="0" borderId="1" xfId="1" applyFont="1" applyFill="1" applyBorder="1" applyAlignment="1">
      <alignment horizontal="center" vertical="center"/>
    </xf>
    <xf numFmtId="43" fontId="2" fillId="2" borderId="1" xfId="0" applyNumberFormat="1" applyFont="1" applyFill="1" applyBorder="1" applyAlignment="1">
      <alignment horizontal="right"/>
    </xf>
    <xf numFmtId="164" fontId="2" fillId="0" borderId="1" xfId="1" applyFont="1" applyFill="1" applyBorder="1" applyAlignment="1">
      <alignment horizontal="center" vertical="center" wrapText="1"/>
    </xf>
    <xf numFmtId="0" fontId="0" fillId="2" borderId="0" xfId="0" applyFill="1" applyAlignment="1">
      <alignment horizontal="right"/>
    </xf>
    <xf numFmtId="0" fontId="0" fillId="0" borderId="0" xfId="0" applyFont="1" applyAlignment="1">
      <alignment wrapText="1"/>
    </xf>
    <xf numFmtId="0" fontId="2" fillId="0" borderId="0" xfId="0" applyFont="1" applyFill="1" applyBorder="1" applyAlignment="1">
      <alignment horizontal="center"/>
    </xf>
    <xf numFmtId="0" fontId="2" fillId="0" borderId="1" xfId="0" applyFont="1" applyFill="1" applyBorder="1" applyAlignment="1">
      <alignment horizontal="center"/>
    </xf>
    <xf numFmtId="0" fontId="2" fillId="0" borderId="2" xfId="0" applyFont="1" applyFill="1" applyBorder="1" applyAlignment="1">
      <alignment horizontal="center" vertical="center"/>
    </xf>
    <xf numFmtId="0" fontId="2" fillId="0" borderId="2" xfId="0" applyFont="1" applyFill="1" applyBorder="1" applyAlignment="1">
      <alignment horizontal="center"/>
    </xf>
    <xf numFmtId="0" fontId="2" fillId="0" borderId="2" xfId="0" applyFont="1" applyFill="1" applyBorder="1" applyAlignment="1"/>
    <xf numFmtId="0" fontId="2" fillId="0" borderId="2" xfId="0" applyFont="1" applyFill="1" applyBorder="1" applyAlignment="1">
      <alignment horizontal="right" vertical="center"/>
    </xf>
    <xf numFmtId="0" fontId="2" fillId="2" borderId="2" xfId="0" applyFont="1" applyFill="1" applyBorder="1" applyAlignment="1">
      <alignment horizontal="right" vertical="center"/>
    </xf>
    <xf numFmtId="0" fontId="2" fillId="0" borderId="2" xfId="0" applyFont="1" applyBorder="1" applyAlignment="1">
      <alignment horizontal="center"/>
    </xf>
    <xf numFmtId="0" fontId="3" fillId="0" borderId="0" xfId="2" applyFill="1" applyBorder="1" applyAlignment="1">
      <alignment vertical="top" wrapText="1"/>
    </xf>
    <xf numFmtId="0" fontId="3" fillId="0" borderId="1" xfId="2" applyFill="1" applyBorder="1" applyAlignment="1">
      <alignment horizontal="center" vertical="top" wrapText="1"/>
    </xf>
    <xf numFmtId="0" fontId="3" fillId="0" borderId="0" xfId="2" applyFill="1" applyBorder="1" applyAlignment="1">
      <alignment horizontal="left" vertical="top"/>
    </xf>
    <xf numFmtId="0" fontId="3" fillId="0" borderId="0" xfId="2" applyFill="1" applyBorder="1" applyAlignment="1">
      <alignment horizontal="left" vertical="top" wrapText="1"/>
    </xf>
    <xf numFmtId="0" fontId="4" fillId="3" borderId="3" xfId="2" applyFont="1" applyFill="1" applyBorder="1" applyAlignment="1">
      <alignment horizontal="center" vertical="top" wrapText="1"/>
    </xf>
    <xf numFmtId="0" fontId="4" fillId="3" borderId="0" xfId="2" applyFont="1" applyFill="1" applyBorder="1" applyAlignment="1">
      <alignment horizontal="center" vertical="top" wrapText="1"/>
    </xf>
    <xf numFmtId="0" fontId="3" fillId="0" borderId="0" xfId="2" applyFill="1" applyBorder="1" applyAlignment="1">
      <alignment horizontal="left" wrapText="1"/>
    </xf>
    <xf numFmtId="0" fontId="3" fillId="0" borderId="4" xfId="2" applyFill="1" applyBorder="1" applyAlignment="1">
      <alignment horizontal="center" wrapText="1"/>
    </xf>
    <xf numFmtId="0" fontId="3" fillId="0" borderId="5" xfId="2" applyFill="1" applyBorder="1" applyAlignment="1">
      <alignment horizontal="center" wrapText="1"/>
    </xf>
    <xf numFmtId="0" fontId="3" fillId="0" borderId="6" xfId="2" applyFill="1" applyBorder="1" applyAlignment="1">
      <alignment horizontal="center" wrapText="1"/>
    </xf>
    <xf numFmtId="0" fontId="6" fillId="4" borderId="3" xfId="2" applyFont="1" applyFill="1" applyBorder="1" applyAlignment="1">
      <alignment horizontal="center" vertical="top" wrapText="1"/>
    </xf>
    <xf numFmtId="0" fontId="6" fillId="4" borderId="0" xfId="2" applyFont="1" applyFill="1" applyBorder="1" applyAlignment="1">
      <alignment horizontal="center" vertical="top" wrapText="1"/>
    </xf>
    <xf numFmtId="0" fontId="6" fillId="4" borderId="7" xfId="2" applyFont="1" applyFill="1" applyBorder="1" applyAlignment="1">
      <alignment horizontal="center" vertical="top" wrapText="1"/>
    </xf>
    <xf numFmtId="0" fontId="3" fillId="0" borderId="8" xfId="2" applyFill="1" applyBorder="1" applyAlignment="1">
      <alignment horizontal="left" wrapText="1"/>
    </xf>
    <xf numFmtId="0" fontId="3" fillId="0" borderId="9" xfId="2" applyFill="1" applyBorder="1" applyAlignment="1">
      <alignment horizontal="left" wrapText="1"/>
    </xf>
    <xf numFmtId="0" fontId="3" fillId="0" borderId="10" xfId="2" applyFill="1" applyBorder="1" applyAlignment="1">
      <alignment horizontal="left" wrapText="1"/>
    </xf>
    <xf numFmtId="0" fontId="3" fillId="0" borderId="1" xfId="2" applyFill="1" applyBorder="1" applyAlignment="1">
      <alignment horizontal="left" vertical="top"/>
    </xf>
    <xf numFmtId="0" fontId="8" fillId="5" borderId="8" xfId="2" applyFont="1" applyFill="1" applyBorder="1" applyAlignment="1">
      <alignment horizontal="left" vertical="top" wrapText="1" indent="8"/>
    </xf>
    <xf numFmtId="0" fontId="8" fillId="5" borderId="9" xfId="2" applyFont="1" applyFill="1" applyBorder="1" applyAlignment="1">
      <alignment horizontal="left" vertical="top" wrapText="1" indent="8"/>
    </xf>
    <xf numFmtId="0" fontId="8" fillId="5" borderId="11" xfId="2" applyFont="1" applyFill="1" applyBorder="1" applyAlignment="1">
      <alignment horizontal="left" vertical="top" wrapText="1" indent="8"/>
    </xf>
    <xf numFmtId="0" fontId="3" fillId="6" borderId="12" xfId="2" applyFill="1" applyBorder="1" applyAlignment="1">
      <alignment horizontal="left" wrapText="1"/>
    </xf>
    <xf numFmtId="0" fontId="3" fillId="6" borderId="13" xfId="2" applyFill="1" applyBorder="1" applyAlignment="1">
      <alignment horizontal="left" wrapText="1"/>
    </xf>
    <xf numFmtId="0" fontId="8" fillId="7" borderId="8" xfId="2" applyFont="1" applyFill="1" applyBorder="1" applyAlignment="1">
      <alignment horizontal="left" vertical="top" wrapText="1" indent="3"/>
    </xf>
    <xf numFmtId="0" fontId="8" fillId="7" borderId="9" xfId="2" applyFont="1" applyFill="1" applyBorder="1" applyAlignment="1">
      <alignment horizontal="left" vertical="top" wrapText="1" indent="3"/>
    </xf>
    <xf numFmtId="0" fontId="8" fillId="7" borderId="11" xfId="2" applyFont="1" applyFill="1" applyBorder="1" applyAlignment="1">
      <alignment horizontal="left" vertical="top" wrapText="1" indent="3"/>
    </xf>
    <xf numFmtId="0" fontId="3" fillId="6" borderId="8" xfId="2" applyFill="1" applyBorder="1" applyAlignment="1">
      <alignment horizontal="left" wrapText="1"/>
    </xf>
    <xf numFmtId="0" fontId="3" fillId="6" borderId="9" xfId="2" applyFill="1" applyBorder="1" applyAlignment="1">
      <alignment horizontal="left" wrapText="1"/>
    </xf>
    <xf numFmtId="0" fontId="3" fillId="6" borderId="14" xfId="2" applyFill="1" applyBorder="1" applyAlignment="1">
      <alignment horizontal="left" wrapText="1"/>
    </xf>
    <xf numFmtId="0" fontId="3" fillId="6" borderId="11" xfId="2" applyFill="1" applyBorder="1" applyAlignment="1">
      <alignment horizontal="left" wrapText="1"/>
    </xf>
    <xf numFmtId="0" fontId="3" fillId="0" borderId="1" xfId="2" applyFill="1" applyBorder="1" applyAlignment="1">
      <alignment vertical="center" wrapText="1"/>
    </xf>
    <xf numFmtId="0" fontId="10" fillId="0" borderId="13" xfId="2" applyFont="1" applyFill="1" applyBorder="1" applyAlignment="1">
      <alignment horizontal="left" vertical="top" wrapText="1"/>
    </xf>
    <xf numFmtId="1" fontId="12" fillId="0" borderId="13" xfId="2" applyNumberFormat="1" applyFont="1" applyFill="1" applyBorder="1" applyAlignment="1">
      <alignment horizontal="center" vertical="top" shrinkToFit="1"/>
    </xf>
    <xf numFmtId="0" fontId="10" fillId="0" borderId="8" xfId="2" applyFont="1" applyFill="1" applyBorder="1" applyAlignment="1">
      <alignment horizontal="left" vertical="top" wrapText="1"/>
    </xf>
    <xf numFmtId="0" fontId="13" fillId="8" borderId="9" xfId="2" applyFont="1" applyFill="1" applyBorder="1" applyAlignment="1">
      <alignment horizontal="left" vertical="top" wrapText="1" indent="8"/>
    </xf>
    <xf numFmtId="0" fontId="13" fillId="9" borderId="9" xfId="2" applyFont="1" applyFill="1" applyBorder="1" applyAlignment="1">
      <alignment horizontal="left" vertical="top" wrapText="1" indent="2"/>
    </xf>
    <xf numFmtId="0" fontId="13" fillId="9" borderId="14" xfId="2" applyFont="1" applyFill="1" applyBorder="1" applyAlignment="1">
      <alignment horizontal="left" vertical="top" wrapText="1" indent="2"/>
    </xf>
    <xf numFmtId="0" fontId="13" fillId="0" borderId="13" xfId="2" applyFont="1" applyFill="1" applyBorder="1" applyAlignment="1">
      <alignment horizontal="left" vertical="top" wrapText="1"/>
    </xf>
    <xf numFmtId="0" fontId="13" fillId="0" borderId="8" xfId="2" applyFont="1" applyFill="1" applyBorder="1" applyAlignment="1">
      <alignment horizontal="left" vertical="top" wrapText="1"/>
    </xf>
    <xf numFmtId="0" fontId="13" fillId="5" borderId="11" xfId="2" applyFont="1" applyFill="1" applyBorder="1" applyAlignment="1">
      <alignment horizontal="left" vertical="top" wrapText="1" indent="1"/>
    </xf>
    <xf numFmtId="0" fontId="3" fillId="0" borderId="4" xfId="2" applyFill="1" applyBorder="1" applyAlignment="1">
      <alignment vertical="center" wrapText="1"/>
    </xf>
    <xf numFmtId="0" fontId="3" fillId="0" borderId="15" xfId="2" applyFill="1" applyBorder="1" applyAlignment="1">
      <alignment horizontal="left" vertical="top"/>
    </xf>
    <xf numFmtId="2" fontId="15" fillId="0" borderId="13" xfId="2" applyNumberFormat="1" applyFont="1" applyFill="1" applyBorder="1" applyAlignment="1">
      <alignment horizontal="center" vertical="top" shrinkToFit="1"/>
    </xf>
    <xf numFmtId="0" fontId="13" fillId="5" borderId="10" xfId="2" applyFont="1" applyFill="1" applyBorder="1" applyAlignment="1">
      <alignment horizontal="center" vertical="top" wrapText="1"/>
    </xf>
    <xf numFmtId="9" fontId="15" fillId="0" borderId="12" xfId="2" applyNumberFormat="1" applyFont="1" applyFill="1" applyBorder="1" applyAlignment="1">
      <alignment horizontal="left" vertical="top" indent="1" shrinkToFit="1"/>
    </xf>
    <xf numFmtId="9" fontId="15" fillId="0" borderId="12" xfId="2" applyNumberFormat="1" applyFont="1" applyFill="1" applyBorder="1" applyAlignment="1">
      <alignment horizontal="center" vertical="top" shrinkToFit="1"/>
    </xf>
    <xf numFmtId="9" fontId="15" fillId="0" borderId="16" xfId="2" applyNumberFormat="1" applyFont="1" applyFill="1" applyBorder="1" applyAlignment="1">
      <alignment horizontal="center" vertical="top" shrinkToFit="1"/>
    </xf>
    <xf numFmtId="165" fontId="15" fillId="0" borderId="16" xfId="2" applyNumberFormat="1" applyFont="1" applyFill="1" applyBorder="1" applyAlignment="1">
      <alignment horizontal="left" vertical="top" shrinkToFit="1"/>
    </xf>
    <xf numFmtId="0" fontId="3" fillId="0" borderId="1" xfId="2" applyFill="1" applyBorder="1" applyAlignment="1">
      <alignment horizontal="left" vertical="center" wrapText="1"/>
    </xf>
    <xf numFmtId="1" fontId="15" fillId="0" borderId="13" xfId="2" applyNumberFormat="1" applyFont="1" applyFill="1" applyBorder="1" applyAlignment="1">
      <alignment horizontal="center" vertical="top" shrinkToFit="1"/>
    </xf>
    <xf numFmtId="9" fontId="15" fillId="0" borderId="13" xfId="2" applyNumberFormat="1" applyFont="1" applyFill="1" applyBorder="1" applyAlignment="1">
      <alignment horizontal="center" vertical="top" shrinkToFit="1"/>
    </xf>
    <xf numFmtId="0" fontId="3" fillId="0" borderId="8" xfId="2" applyFill="1" applyBorder="1" applyAlignment="1">
      <alignment horizontal="left" wrapText="1"/>
    </xf>
    <xf numFmtId="166" fontId="15" fillId="0" borderId="13" xfId="2" applyNumberFormat="1" applyFont="1" applyFill="1" applyBorder="1" applyAlignment="1">
      <alignment horizontal="center" vertical="top" shrinkToFit="1"/>
    </xf>
    <xf numFmtId="0" fontId="10" fillId="0" borderId="12" xfId="2" applyFont="1" applyFill="1" applyBorder="1" applyAlignment="1">
      <alignment horizontal="left" vertical="top" wrapText="1"/>
    </xf>
    <xf numFmtId="0" fontId="3" fillId="0" borderId="16" xfId="2" applyFill="1" applyBorder="1" applyAlignment="1">
      <alignment horizontal="left" wrapText="1"/>
    </xf>
    <xf numFmtId="0" fontId="3" fillId="0" borderId="0" xfId="2" applyFill="1" applyBorder="1" applyAlignment="1">
      <alignment horizontal="left" vertical="center" wrapText="1"/>
    </xf>
    <xf numFmtId="0" fontId="3" fillId="0" borderId="1" xfId="2" applyFill="1" applyBorder="1" applyAlignment="1">
      <alignment horizontal="center" vertical="center" wrapText="1"/>
    </xf>
    <xf numFmtId="0" fontId="3" fillId="10" borderId="17" xfId="2" applyFill="1" applyBorder="1" applyAlignment="1">
      <alignment horizontal="left" wrapText="1"/>
    </xf>
    <xf numFmtId="0" fontId="13" fillId="10" borderId="17" xfId="2" applyFont="1" applyFill="1" applyBorder="1" applyAlignment="1">
      <alignment horizontal="center" vertical="top" wrapText="1"/>
    </xf>
    <xf numFmtId="0" fontId="13" fillId="10" borderId="17" xfId="2" applyFont="1" applyFill="1" applyBorder="1" applyAlignment="1">
      <alignment horizontal="left" vertical="top" wrapText="1" indent="1"/>
    </xf>
    <xf numFmtId="0" fontId="13" fillId="10" borderId="17" xfId="2" applyFont="1" applyFill="1" applyBorder="1" applyAlignment="1">
      <alignment horizontal="left" vertical="top" wrapText="1"/>
    </xf>
    <xf numFmtId="0" fontId="3" fillId="0" borderId="13" xfId="2" applyFill="1" applyBorder="1" applyAlignment="1">
      <alignment horizontal="center" wrapText="1"/>
    </xf>
    <xf numFmtId="2" fontId="15" fillId="0" borderId="13" xfId="2" applyNumberFormat="1" applyFont="1" applyFill="1" applyBorder="1" applyAlignment="1">
      <alignment horizontal="left" vertical="top" indent="1" shrinkToFit="1"/>
    </xf>
    <xf numFmtId="1" fontId="15" fillId="0" borderId="13" xfId="2" applyNumberFormat="1" applyFont="1" applyFill="1" applyBorder="1" applyAlignment="1">
      <alignment horizontal="left" vertical="top" shrinkToFit="1"/>
    </xf>
    <xf numFmtId="1" fontId="15" fillId="0" borderId="13" xfId="2" applyNumberFormat="1" applyFont="1" applyFill="1" applyBorder="1" applyAlignment="1">
      <alignment horizontal="left" vertical="top" indent="1" shrinkToFit="1"/>
    </xf>
    <xf numFmtId="0" fontId="10" fillId="11" borderId="13" xfId="2" applyFont="1" applyFill="1" applyBorder="1" applyAlignment="1">
      <alignment horizontal="left" vertical="top" wrapText="1"/>
    </xf>
    <xf numFmtId="0" fontId="3" fillId="11" borderId="13" xfId="2" applyFill="1" applyBorder="1" applyAlignment="1">
      <alignment horizontal="center" wrapText="1"/>
    </xf>
    <xf numFmtId="167" fontId="15" fillId="11" borderId="13" xfId="2" applyNumberFormat="1" applyFont="1" applyFill="1" applyBorder="1" applyAlignment="1">
      <alignment horizontal="left" vertical="top" indent="1" shrinkToFit="1"/>
    </xf>
    <xf numFmtId="0" fontId="3" fillId="0" borderId="13" xfId="2" applyFill="1" applyBorder="1" applyAlignment="1">
      <alignment horizontal="left" wrapText="1"/>
    </xf>
    <xf numFmtId="0" fontId="10" fillId="12" borderId="13" xfId="2" applyFont="1" applyFill="1" applyBorder="1" applyAlignment="1">
      <alignment horizontal="left" vertical="top" wrapText="1"/>
    </xf>
    <xf numFmtId="0" fontId="3" fillId="12" borderId="13" xfId="2" applyFill="1" applyBorder="1" applyAlignment="1">
      <alignment horizontal="center" wrapText="1"/>
    </xf>
    <xf numFmtId="167" fontId="15" fillId="12" borderId="13" xfId="2" applyNumberFormat="1" applyFont="1" applyFill="1" applyBorder="1" applyAlignment="1">
      <alignment horizontal="right" vertical="top" shrinkToFit="1"/>
    </xf>
    <xf numFmtId="0" fontId="3" fillId="12" borderId="13" xfId="2" applyFill="1" applyBorder="1" applyAlignment="1">
      <alignment horizontal="left" wrapText="1"/>
    </xf>
    <xf numFmtId="0" fontId="10" fillId="5" borderId="13" xfId="2" applyFont="1" applyFill="1" applyBorder="1" applyAlignment="1">
      <alignment horizontal="left" vertical="top" wrapText="1"/>
    </xf>
    <xf numFmtId="2" fontId="15" fillId="5" borderId="13" xfId="2" applyNumberFormat="1" applyFont="1" applyFill="1" applyBorder="1" applyAlignment="1">
      <alignment horizontal="center" vertical="top" shrinkToFit="1"/>
    </xf>
    <xf numFmtId="0" fontId="3" fillId="5" borderId="13" xfId="2" applyFill="1" applyBorder="1" applyAlignment="1">
      <alignment horizontal="center" wrapText="1"/>
    </xf>
    <xf numFmtId="167" fontId="15" fillId="5" borderId="13" xfId="2" applyNumberFormat="1" applyFont="1" applyFill="1" applyBorder="1" applyAlignment="1">
      <alignment horizontal="right" vertical="top" shrinkToFit="1"/>
    </xf>
    <xf numFmtId="167" fontId="15" fillId="0" borderId="13" xfId="2" applyNumberFormat="1" applyFont="1" applyFill="1" applyBorder="1" applyAlignment="1">
      <alignment horizontal="right" vertical="top" shrinkToFit="1"/>
    </xf>
    <xf numFmtId="1" fontId="15" fillId="0" borderId="13" xfId="2" applyNumberFormat="1" applyFont="1" applyFill="1" applyBorder="1" applyAlignment="1">
      <alignment horizontal="right" vertical="top" shrinkToFit="1"/>
    </xf>
    <xf numFmtId="167" fontId="15" fillId="11" borderId="13" xfId="2" applyNumberFormat="1" applyFont="1" applyFill="1" applyBorder="1" applyAlignment="1">
      <alignment horizontal="right" vertical="top" shrinkToFit="1"/>
    </xf>
    <xf numFmtId="0" fontId="10" fillId="13" borderId="13" xfId="2" applyFont="1" applyFill="1" applyBorder="1" applyAlignment="1">
      <alignment horizontal="left" vertical="top" wrapText="1"/>
    </xf>
    <xf numFmtId="0" fontId="3" fillId="13" borderId="13" xfId="2" applyFill="1" applyBorder="1" applyAlignment="1">
      <alignment horizontal="center" wrapText="1"/>
    </xf>
    <xf numFmtId="2" fontId="15" fillId="13" borderId="13" xfId="2" applyNumberFormat="1" applyFont="1" applyFill="1" applyBorder="1" applyAlignment="1">
      <alignment horizontal="right" vertical="top" shrinkToFit="1"/>
    </xf>
    <xf numFmtId="0" fontId="3" fillId="13" borderId="13" xfId="2" applyFill="1" applyBorder="1" applyAlignment="1">
      <alignment horizontal="left" wrapText="1"/>
    </xf>
    <xf numFmtId="0" fontId="10" fillId="14" borderId="13" xfId="2" applyFont="1" applyFill="1" applyBorder="1" applyAlignment="1">
      <alignment horizontal="left" vertical="top" wrapText="1"/>
    </xf>
    <xf numFmtId="167" fontId="16" fillId="15" borderId="13" xfId="2" applyNumberFormat="1" applyFont="1" applyFill="1" applyBorder="1" applyAlignment="1">
      <alignment horizontal="center" vertical="top" shrinkToFit="1"/>
    </xf>
    <xf numFmtId="167" fontId="17" fillId="16" borderId="13" xfId="2" applyNumberFormat="1" applyFont="1" applyFill="1" applyBorder="1" applyAlignment="1">
      <alignment horizontal="right" vertical="top" shrinkToFit="1"/>
    </xf>
    <xf numFmtId="167" fontId="16" fillId="15" borderId="13" xfId="2" applyNumberFormat="1" applyFont="1" applyFill="1" applyBorder="1" applyAlignment="1">
      <alignment horizontal="right" vertical="top" shrinkToFit="1"/>
    </xf>
    <xf numFmtId="0" fontId="3" fillId="0" borderId="9" xfId="2" applyFill="1" applyBorder="1" applyAlignment="1">
      <alignment horizontal="center" wrapText="1"/>
    </xf>
    <xf numFmtId="0" fontId="3" fillId="0" borderId="9" xfId="2" applyFill="1" applyBorder="1" applyAlignment="1">
      <alignment horizontal="left" wrapText="1"/>
    </xf>
    <xf numFmtId="0" fontId="3" fillId="0" borderId="11" xfId="2" applyFill="1" applyBorder="1" applyAlignment="1">
      <alignment horizontal="left" wrapText="1"/>
    </xf>
    <xf numFmtId="0" fontId="13" fillId="0" borderId="13" xfId="2" applyFont="1" applyFill="1" applyBorder="1" applyAlignment="1">
      <alignment horizontal="right" vertical="top" wrapText="1"/>
    </xf>
    <xf numFmtId="9" fontId="15" fillId="5" borderId="13" xfId="2" applyNumberFormat="1" applyFont="1" applyFill="1" applyBorder="1" applyAlignment="1">
      <alignment horizontal="center" vertical="top" shrinkToFit="1"/>
    </xf>
    <xf numFmtId="0" fontId="13" fillId="17" borderId="8" xfId="2" applyFont="1" applyFill="1" applyBorder="1" applyAlignment="1">
      <alignment horizontal="center" vertical="top" wrapText="1"/>
    </xf>
    <xf numFmtId="0" fontId="13" fillId="17" borderId="9" xfId="2" applyFont="1" applyFill="1" applyBorder="1" applyAlignment="1">
      <alignment horizontal="center" vertical="top" wrapText="1"/>
    </xf>
    <xf numFmtId="0" fontId="13" fillId="17" borderId="11" xfId="2" applyFont="1" applyFill="1" applyBorder="1" applyAlignment="1">
      <alignment horizontal="center" vertical="top" wrapText="1"/>
    </xf>
    <xf numFmtId="167" fontId="12" fillId="0" borderId="13" xfId="2" applyNumberFormat="1" applyFont="1" applyFill="1" applyBorder="1" applyAlignment="1">
      <alignment horizontal="center" vertical="top" shrinkToFit="1"/>
    </xf>
    <xf numFmtId="0" fontId="3" fillId="6" borderId="14" xfId="2" applyFill="1" applyBorder="1" applyAlignment="1">
      <alignment horizontal="left" wrapText="1"/>
    </xf>
    <xf numFmtId="0" fontId="3" fillId="6" borderId="14" xfId="2" applyFill="1" applyBorder="1" applyAlignment="1">
      <alignment horizontal="center" wrapText="1"/>
    </xf>
    <xf numFmtId="0" fontId="3" fillId="0" borderId="0" xfId="2" applyFill="1" applyBorder="1" applyAlignment="1">
      <alignment horizontal="center" vertical="top"/>
    </xf>
  </cellXfs>
  <cellStyles count="3">
    <cellStyle name="Comma 2" xfId="1"/>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selection activeCell="B32" sqref="B32"/>
    </sheetView>
  </sheetViews>
  <sheetFormatPr defaultRowHeight="14.4" x14ac:dyDescent="0.3"/>
  <cols>
    <col min="1" max="1" width="8.33203125" style="1" bestFit="1" customWidth="1"/>
    <col min="2" max="2" width="34.33203125" bestFit="1" customWidth="1"/>
    <col min="3" max="3" width="52" bestFit="1" customWidth="1"/>
    <col min="4" max="4" width="13.5546875" bestFit="1" customWidth="1"/>
    <col min="5" max="5" width="11" bestFit="1" customWidth="1"/>
    <col min="6" max="6" width="18.33203125" style="1" customWidth="1"/>
    <col min="7" max="7" width="12" style="40" bestFit="1" customWidth="1"/>
    <col min="8" max="8" width="17.88671875" style="1" bestFit="1" customWidth="1"/>
    <col min="9" max="9" width="12.109375" style="1" customWidth="1"/>
    <col min="10" max="10" width="11" style="1" bestFit="1" customWidth="1"/>
    <col min="257" max="257" width="8.33203125" bestFit="1" customWidth="1"/>
    <col min="258" max="258" width="34.33203125" bestFit="1" customWidth="1"/>
    <col min="259" max="259" width="52" bestFit="1" customWidth="1"/>
    <col min="260" max="260" width="13.5546875" bestFit="1" customWidth="1"/>
    <col min="261" max="261" width="11" bestFit="1" customWidth="1"/>
    <col min="262" max="262" width="18.33203125" customWidth="1"/>
    <col min="263" max="263" width="12" bestFit="1" customWidth="1"/>
    <col min="264" max="264" width="17.88671875" bestFit="1" customWidth="1"/>
    <col min="265" max="265" width="12.109375" customWidth="1"/>
    <col min="266" max="266" width="11" bestFit="1" customWidth="1"/>
    <col min="513" max="513" width="8.33203125" bestFit="1" customWidth="1"/>
    <col min="514" max="514" width="34.33203125" bestFit="1" customWidth="1"/>
    <col min="515" max="515" width="52" bestFit="1" customWidth="1"/>
    <col min="516" max="516" width="13.5546875" bestFit="1" customWidth="1"/>
    <col min="517" max="517" width="11" bestFit="1" customWidth="1"/>
    <col min="518" max="518" width="18.33203125" customWidth="1"/>
    <col min="519" max="519" width="12" bestFit="1" customWidth="1"/>
    <col min="520" max="520" width="17.88671875" bestFit="1" customWidth="1"/>
    <col min="521" max="521" width="12.109375" customWidth="1"/>
    <col min="522" max="522" width="11" bestFit="1" customWidth="1"/>
    <col min="769" max="769" width="8.33203125" bestFit="1" customWidth="1"/>
    <col min="770" max="770" width="34.33203125" bestFit="1" customWidth="1"/>
    <col min="771" max="771" width="52" bestFit="1" customWidth="1"/>
    <col min="772" max="772" width="13.5546875" bestFit="1" customWidth="1"/>
    <col min="773" max="773" width="11" bestFit="1" customWidth="1"/>
    <col min="774" max="774" width="18.33203125" customWidth="1"/>
    <col min="775" max="775" width="12" bestFit="1" customWidth="1"/>
    <col min="776" max="776" width="17.88671875" bestFit="1" customWidth="1"/>
    <col min="777" max="777" width="12.109375" customWidth="1"/>
    <col min="778" max="778" width="11" bestFit="1" customWidth="1"/>
    <col min="1025" max="1025" width="8.33203125" bestFit="1" customWidth="1"/>
    <col min="1026" max="1026" width="34.33203125" bestFit="1" customWidth="1"/>
    <col min="1027" max="1027" width="52" bestFit="1" customWidth="1"/>
    <col min="1028" max="1028" width="13.5546875" bestFit="1" customWidth="1"/>
    <col min="1029" max="1029" width="11" bestFit="1" customWidth="1"/>
    <col min="1030" max="1030" width="18.33203125" customWidth="1"/>
    <col min="1031" max="1031" width="12" bestFit="1" customWidth="1"/>
    <col min="1032" max="1032" width="17.88671875" bestFit="1" customWidth="1"/>
    <col min="1033" max="1033" width="12.109375" customWidth="1"/>
    <col min="1034" max="1034" width="11" bestFit="1" customWidth="1"/>
    <col min="1281" max="1281" width="8.33203125" bestFit="1" customWidth="1"/>
    <col min="1282" max="1282" width="34.33203125" bestFit="1" customWidth="1"/>
    <col min="1283" max="1283" width="52" bestFit="1" customWidth="1"/>
    <col min="1284" max="1284" width="13.5546875" bestFit="1" customWidth="1"/>
    <col min="1285" max="1285" width="11" bestFit="1" customWidth="1"/>
    <col min="1286" max="1286" width="18.33203125" customWidth="1"/>
    <col min="1287" max="1287" width="12" bestFit="1" customWidth="1"/>
    <col min="1288" max="1288" width="17.88671875" bestFit="1" customWidth="1"/>
    <col min="1289" max="1289" width="12.109375" customWidth="1"/>
    <col min="1290" max="1290" width="11" bestFit="1" customWidth="1"/>
    <col min="1537" max="1537" width="8.33203125" bestFit="1" customWidth="1"/>
    <col min="1538" max="1538" width="34.33203125" bestFit="1" customWidth="1"/>
    <col min="1539" max="1539" width="52" bestFit="1" customWidth="1"/>
    <col min="1540" max="1540" width="13.5546875" bestFit="1" customWidth="1"/>
    <col min="1541" max="1541" width="11" bestFit="1" customWidth="1"/>
    <col min="1542" max="1542" width="18.33203125" customWidth="1"/>
    <col min="1543" max="1543" width="12" bestFit="1" customWidth="1"/>
    <col min="1544" max="1544" width="17.88671875" bestFit="1" customWidth="1"/>
    <col min="1545" max="1545" width="12.109375" customWidth="1"/>
    <col min="1546" max="1546" width="11" bestFit="1" customWidth="1"/>
    <col min="1793" max="1793" width="8.33203125" bestFit="1" customWidth="1"/>
    <col min="1794" max="1794" width="34.33203125" bestFit="1" customWidth="1"/>
    <col min="1795" max="1795" width="52" bestFit="1" customWidth="1"/>
    <col min="1796" max="1796" width="13.5546875" bestFit="1" customWidth="1"/>
    <col min="1797" max="1797" width="11" bestFit="1" customWidth="1"/>
    <col min="1798" max="1798" width="18.33203125" customWidth="1"/>
    <col min="1799" max="1799" width="12" bestFit="1" customWidth="1"/>
    <col min="1800" max="1800" width="17.88671875" bestFit="1" customWidth="1"/>
    <col min="1801" max="1801" width="12.109375" customWidth="1"/>
    <col min="1802" max="1802" width="11" bestFit="1" customWidth="1"/>
    <col min="2049" max="2049" width="8.33203125" bestFit="1" customWidth="1"/>
    <col min="2050" max="2050" width="34.33203125" bestFit="1" customWidth="1"/>
    <col min="2051" max="2051" width="52" bestFit="1" customWidth="1"/>
    <col min="2052" max="2052" width="13.5546875" bestFit="1" customWidth="1"/>
    <col min="2053" max="2053" width="11" bestFit="1" customWidth="1"/>
    <col min="2054" max="2054" width="18.33203125" customWidth="1"/>
    <col min="2055" max="2055" width="12" bestFit="1" customWidth="1"/>
    <col min="2056" max="2056" width="17.88671875" bestFit="1" customWidth="1"/>
    <col min="2057" max="2057" width="12.109375" customWidth="1"/>
    <col min="2058" max="2058" width="11" bestFit="1" customWidth="1"/>
    <col min="2305" max="2305" width="8.33203125" bestFit="1" customWidth="1"/>
    <col min="2306" max="2306" width="34.33203125" bestFit="1" customWidth="1"/>
    <col min="2307" max="2307" width="52" bestFit="1" customWidth="1"/>
    <col min="2308" max="2308" width="13.5546875" bestFit="1" customWidth="1"/>
    <col min="2309" max="2309" width="11" bestFit="1" customWidth="1"/>
    <col min="2310" max="2310" width="18.33203125" customWidth="1"/>
    <col min="2311" max="2311" width="12" bestFit="1" customWidth="1"/>
    <col min="2312" max="2312" width="17.88671875" bestFit="1" customWidth="1"/>
    <col min="2313" max="2313" width="12.109375" customWidth="1"/>
    <col min="2314" max="2314" width="11" bestFit="1" customWidth="1"/>
    <col min="2561" max="2561" width="8.33203125" bestFit="1" customWidth="1"/>
    <col min="2562" max="2562" width="34.33203125" bestFit="1" customWidth="1"/>
    <col min="2563" max="2563" width="52" bestFit="1" customWidth="1"/>
    <col min="2564" max="2564" width="13.5546875" bestFit="1" customWidth="1"/>
    <col min="2565" max="2565" width="11" bestFit="1" customWidth="1"/>
    <col min="2566" max="2566" width="18.33203125" customWidth="1"/>
    <col min="2567" max="2567" width="12" bestFit="1" customWidth="1"/>
    <col min="2568" max="2568" width="17.88671875" bestFit="1" customWidth="1"/>
    <col min="2569" max="2569" width="12.109375" customWidth="1"/>
    <col min="2570" max="2570" width="11" bestFit="1" customWidth="1"/>
    <col min="2817" max="2817" width="8.33203125" bestFit="1" customWidth="1"/>
    <col min="2818" max="2818" width="34.33203125" bestFit="1" customWidth="1"/>
    <col min="2819" max="2819" width="52" bestFit="1" customWidth="1"/>
    <col min="2820" max="2820" width="13.5546875" bestFit="1" customWidth="1"/>
    <col min="2821" max="2821" width="11" bestFit="1" customWidth="1"/>
    <col min="2822" max="2822" width="18.33203125" customWidth="1"/>
    <col min="2823" max="2823" width="12" bestFit="1" customWidth="1"/>
    <col min="2824" max="2824" width="17.88671875" bestFit="1" customWidth="1"/>
    <col min="2825" max="2825" width="12.109375" customWidth="1"/>
    <col min="2826" max="2826" width="11" bestFit="1" customWidth="1"/>
    <col min="3073" max="3073" width="8.33203125" bestFit="1" customWidth="1"/>
    <col min="3074" max="3074" width="34.33203125" bestFit="1" customWidth="1"/>
    <col min="3075" max="3075" width="52" bestFit="1" customWidth="1"/>
    <col min="3076" max="3076" width="13.5546875" bestFit="1" customWidth="1"/>
    <col min="3077" max="3077" width="11" bestFit="1" customWidth="1"/>
    <col min="3078" max="3078" width="18.33203125" customWidth="1"/>
    <col min="3079" max="3079" width="12" bestFit="1" customWidth="1"/>
    <col min="3080" max="3080" width="17.88671875" bestFit="1" customWidth="1"/>
    <col min="3081" max="3081" width="12.109375" customWidth="1"/>
    <col min="3082" max="3082" width="11" bestFit="1" customWidth="1"/>
    <col min="3329" max="3329" width="8.33203125" bestFit="1" customWidth="1"/>
    <col min="3330" max="3330" width="34.33203125" bestFit="1" customWidth="1"/>
    <col min="3331" max="3331" width="52" bestFit="1" customWidth="1"/>
    <col min="3332" max="3332" width="13.5546875" bestFit="1" customWidth="1"/>
    <col min="3333" max="3333" width="11" bestFit="1" customWidth="1"/>
    <col min="3334" max="3334" width="18.33203125" customWidth="1"/>
    <col min="3335" max="3335" width="12" bestFit="1" customWidth="1"/>
    <col min="3336" max="3336" width="17.88671875" bestFit="1" customWidth="1"/>
    <col min="3337" max="3337" width="12.109375" customWidth="1"/>
    <col min="3338" max="3338" width="11" bestFit="1" customWidth="1"/>
    <col min="3585" max="3585" width="8.33203125" bestFit="1" customWidth="1"/>
    <col min="3586" max="3586" width="34.33203125" bestFit="1" customWidth="1"/>
    <col min="3587" max="3587" width="52" bestFit="1" customWidth="1"/>
    <col min="3588" max="3588" width="13.5546875" bestFit="1" customWidth="1"/>
    <col min="3589" max="3589" width="11" bestFit="1" customWidth="1"/>
    <col min="3590" max="3590" width="18.33203125" customWidth="1"/>
    <col min="3591" max="3591" width="12" bestFit="1" customWidth="1"/>
    <col min="3592" max="3592" width="17.88671875" bestFit="1" customWidth="1"/>
    <col min="3593" max="3593" width="12.109375" customWidth="1"/>
    <col min="3594" max="3594" width="11" bestFit="1" customWidth="1"/>
    <col min="3841" max="3841" width="8.33203125" bestFit="1" customWidth="1"/>
    <col min="3842" max="3842" width="34.33203125" bestFit="1" customWidth="1"/>
    <col min="3843" max="3843" width="52" bestFit="1" customWidth="1"/>
    <col min="3844" max="3844" width="13.5546875" bestFit="1" customWidth="1"/>
    <col min="3845" max="3845" width="11" bestFit="1" customWidth="1"/>
    <col min="3846" max="3846" width="18.33203125" customWidth="1"/>
    <col min="3847" max="3847" width="12" bestFit="1" customWidth="1"/>
    <col min="3848" max="3848" width="17.88671875" bestFit="1" customWidth="1"/>
    <col min="3849" max="3849" width="12.109375" customWidth="1"/>
    <col min="3850" max="3850" width="11" bestFit="1" customWidth="1"/>
    <col min="4097" max="4097" width="8.33203125" bestFit="1" customWidth="1"/>
    <col min="4098" max="4098" width="34.33203125" bestFit="1" customWidth="1"/>
    <col min="4099" max="4099" width="52" bestFit="1" customWidth="1"/>
    <col min="4100" max="4100" width="13.5546875" bestFit="1" customWidth="1"/>
    <col min="4101" max="4101" width="11" bestFit="1" customWidth="1"/>
    <col min="4102" max="4102" width="18.33203125" customWidth="1"/>
    <col min="4103" max="4103" width="12" bestFit="1" customWidth="1"/>
    <col min="4104" max="4104" width="17.88671875" bestFit="1" customWidth="1"/>
    <col min="4105" max="4105" width="12.109375" customWidth="1"/>
    <col min="4106" max="4106" width="11" bestFit="1" customWidth="1"/>
    <col min="4353" max="4353" width="8.33203125" bestFit="1" customWidth="1"/>
    <col min="4354" max="4354" width="34.33203125" bestFit="1" customWidth="1"/>
    <col min="4355" max="4355" width="52" bestFit="1" customWidth="1"/>
    <col min="4356" max="4356" width="13.5546875" bestFit="1" customWidth="1"/>
    <col min="4357" max="4357" width="11" bestFit="1" customWidth="1"/>
    <col min="4358" max="4358" width="18.33203125" customWidth="1"/>
    <col min="4359" max="4359" width="12" bestFit="1" customWidth="1"/>
    <col min="4360" max="4360" width="17.88671875" bestFit="1" customWidth="1"/>
    <col min="4361" max="4361" width="12.109375" customWidth="1"/>
    <col min="4362" max="4362" width="11" bestFit="1" customWidth="1"/>
    <col min="4609" max="4609" width="8.33203125" bestFit="1" customWidth="1"/>
    <col min="4610" max="4610" width="34.33203125" bestFit="1" customWidth="1"/>
    <col min="4611" max="4611" width="52" bestFit="1" customWidth="1"/>
    <col min="4612" max="4612" width="13.5546875" bestFit="1" customWidth="1"/>
    <col min="4613" max="4613" width="11" bestFit="1" customWidth="1"/>
    <col min="4614" max="4614" width="18.33203125" customWidth="1"/>
    <col min="4615" max="4615" width="12" bestFit="1" customWidth="1"/>
    <col min="4616" max="4616" width="17.88671875" bestFit="1" customWidth="1"/>
    <col min="4617" max="4617" width="12.109375" customWidth="1"/>
    <col min="4618" max="4618" width="11" bestFit="1" customWidth="1"/>
    <col min="4865" max="4865" width="8.33203125" bestFit="1" customWidth="1"/>
    <col min="4866" max="4866" width="34.33203125" bestFit="1" customWidth="1"/>
    <col min="4867" max="4867" width="52" bestFit="1" customWidth="1"/>
    <col min="4868" max="4868" width="13.5546875" bestFit="1" customWidth="1"/>
    <col min="4869" max="4869" width="11" bestFit="1" customWidth="1"/>
    <col min="4870" max="4870" width="18.33203125" customWidth="1"/>
    <col min="4871" max="4871" width="12" bestFit="1" customWidth="1"/>
    <col min="4872" max="4872" width="17.88671875" bestFit="1" customWidth="1"/>
    <col min="4873" max="4873" width="12.109375" customWidth="1"/>
    <col min="4874" max="4874" width="11" bestFit="1" customWidth="1"/>
    <col min="5121" max="5121" width="8.33203125" bestFit="1" customWidth="1"/>
    <col min="5122" max="5122" width="34.33203125" bestFit="1" customWidth="1"/>
    <col min="5123" max="5123" width="52" bestFit="1" customWidth="1"/>
    <col min="5124" max="5124" width="13.5546875" bestFit="1" customWidth="1"/>
    <col min="5125" max="5125" width="11" bestFit="1" customWidth="1"/>
    <col min="5126" max="5126" width="18.33203125" customWidth="1"/>
    <col min="5127" max="5127" width="12" bestFit="1" customWidth="1"/>
    <col min="5128" max="5128" width="17.88671875" bestFit="1" customWidth="1"/>
    <col min="5129" max="5129" width="12.109375" customWidth="1"/>
    <col min="5130" max="5130" width="11" bestFit="1" customWidth="1"/>
    <col min="5377" max="5377" width="8.33203125" bestFit="1" customWidth="1"/>
    <col min="5378" max="5378" width="34.33203125" bestFit="1" customWidth="1"/>
    <col min="5379" max="5379" width="52" bestFit="1" customWidth="1"/>
    <col min="5380" max="5380" width="13.5546875" bestFit="1" customWidth="1"/>
    <col min="5381" max="5381" width="11" bestFit="1" customWidth="1"/>
    <col min="5382" max="5382" width="18.33203125" customWidth="1"/>
    <col min="5383" max="5383" width="12" bestFit="1" customWidth="1"/>
    <col min="5384" max="5384" width="17.88671875" bestFit="1" customWidth="1"/>
    <col min="5385" max="5385" width="12.109375" customWidth="1"/>
    <col min="5386" max="5386" width="11" bestFit="1" customWidth="1"/>
    <col min="5633" max="5633" width="8.33203125" bestFit="1" customWidth="1"/>
    <col min="5634" max="5634" width="34.33203125" bestFit="1" customWidth="1"/>
    <col min="5635" max="5635" width="52" bestFit="1" customWidth="1"/>
    <col min="5636" max="5636" width="13.5546875" bestFit="1" customWidth="1"/>
    <col min="5637" max="5637" width="11" bestFit="1" customWidth="1"/>
    <col min="5638" max="5638" width="18.33203125" customWidth="1"/>
    <col min="5639" max="5639" width="12" bestFit="1" customWidth="1"/>
    <col min="5640" max="5640" width="17.88671875" bestFit="1" customWidth="1"/>
    <col min="5641" max="5641" width="12.109375" customWidth="1"/>
    <col min="5642" max="5642" width="11" bestFit="1" customWidth="1"/>
    <col min="5889" max="5889" width="8.33203125" bestFit="1" customWidth="1"/>
    <col min="5890" max="5890" width="34.33203125" bestFit="1" customWidth="1"/>
    <col min="5891" max="5891" width="52" bestFit="1" customWidth="1"/>
    <col min="5892" max="5892" width="13.5546875" bestFit="1" customWidth="1"/>
    <col min="5893" max="5893" width="11" bestFit="1" customWidth="1"/>
    <col min="5894" max="5894" width="18.33203125" customWidth="1"/>
    <col min="5895" max="5895" width="12" bestFit="1" customWidth="1"/>
    <col min="5896" max="5896" width="17.88671875" bestFit="1" customWidth="1"/>
    <col min="5897" max="5897" width="12.109375" customWidth="1"/>
    <col min="5898" max="5898" width="11" bestFit="1" customWidth="1"/>
    <col min="6145" max="6145" width="8.33203125" bestFit="1" customWidth="1"/>
    <col min="6146" max="6146" width="34.33203125" bestFit="1" customWidth="1"/>
    <col min="6147" max="6147" width="52" bestFit="1" customWidth="1"/>
    <col min="6148" max="6148" width="13.5546875" bestFit="1" customWidth="1"/>
    <col min="6149" max="6149" width="11" bestFit="1" customWidth="1"/>
    <col min="6150" max="6150" width="18.33203125" customWidth="1"/>
    <col min="6151" max="6151" width="12" bestFit="1" customWidth="1"/>
    <col min="6152" max="6152" width="17.88671875" bestFit="1" customWidth="1"/>
    <col min="6153" max="6153" width="12.109375" customWidth="1"/>
    <col min="6154" max="6154" width="11" bestFit="1" customWidth="1"/>
    <col min="6401" max="6401" width="8.33203125" bestFit="1" customWidth="1"/>
    <col min="6402" max="6402" width="34.33203125" bestFit="1" customWidth="1"/>
    <col min="6403" max="6403" width="52" bestFit="1" customWidth="1"/>
    <col min="6404" max="6404" width="13.5546875" bestFit="1" customWidth="1"/>
    <col min="6405" max="6405" width="11" bestFit="1" customWidth="1"/>
    <col min="6406" max="6406" width="18.33203125" customWidth="1"/>
    <col min="6407" max="6407" width="12" bestFit="1" customWidth="1"/>
    <col min="6408" max="6408" width="17.88671875" bestFit="1" customWidth="1"/>
    <col min="6409" max="6409" width="12.109375" customWidth="1"/>
    <col min="6410" max="6410" width="11" bestFit="1" customWidth="1"/>
    <col min="6657" max="6657" width="8.33203125" bestFit="1" customWidth="1"/>
    <col min="6658" max="6658" width="34.33203125" bestFit="1" customWidth="1"/>
    <col min="6659" max="6659" width="52" bestFit="1" customWidth="1"/>
    <col min="6660" max="6660" width="13.5546875" bestFit="1" customWidth="1"/>
    <col min="6661" max="6661" width="11" bestFit="1" customWidth="1"/>
    <col min="6662" max="6662" width="18.33203125" customWidth="1"/>
    <col min="6663" max="6663" width="12" bestFit="1" customWidth="1"/>
    <col min="6664" max="6664" width="17.88671875" bestFit="1" customWidth="1"/>
    <col min="6665" max="6665" width="12.109375" customWidth="1"/>
    <col min="6666" max="6666" width="11" bestFit="1" customWidth="1"/>
    <col min="6913" max="6913" width="8.33203125" bestFit="1" customWidth="1"/>
    <col min="6914" max="6914" width="34.33203125" bestFit="1" customWidth="1"/>
    <col min="6915" max="6915" width="52" bestFit="1" customWidth="1"/>
    <col min="6916" max="6916" width="13.5546875" bestFit="1" customWidth="1"/>
    <col min="6917" max="6917" width="11" bestFit="1" customWidth="1"/>
    <col min="6918" max="6918" width="18.33203125" customWidth="1"/>
    <col min="6919" max="6919" width="12" bestFit="1" customWidth="1"/>
    <col min="6920" max="6920" width="17.88671875" bestFit="1" customWidth="1"/>
    <col min="6921" max="6921" width="12.109375" customWidth="1"/>
    <col min="6922" max="6922" width="11" bestFit="1" customWidth="1"/>
    <col min="7169" max="7169" width="8.33203125" bestFit="1" customWidth="1"/>
    <col min="7170" max="7170" width="34.33203125" bestFit="1" customWidth="1"/>
    <col min="7171" max="7171" width="52" bestFit="1" customWidth="1"/>
    <col min="7172" max="7172" width="13.5546875" bestFit="1" customWidth="1"/>
    <col min="7173" max="7173" width="11" bestFit="1" customWidth="1"/>
    <col min="7174" max="7174" width="18.33203125" customWidth="1"/>
    <col min="7175" max="7175" width="12" bestFit="1" customWidth="1"/>
    <col min="7176" max="7176" width="17.88671875" bestFit="1" customWidth="1"/>
    <col min="7177" max="7177" width="12.109375" customWidth="1"/>
    <col min="7178" max="7178" width="11" bestFit="1" customWidth="1"/>
    <col min="7425" max="7425" width="8.33203125" bestFit="1" customWidth="1"/>
    <col min="7426" max="7426" width="34.33203125" bestFit="1" customWidth="1"/>
    <col min="7427" max="7427" width="52" bestFit="1" customWidth="1"/>
    <col min="7428" max="7428" width="13.5546875" bestFit="1" customWidth="1"/>
    <col min="7429" max="7429" width="11" bestFit="1" customWidth="1"/>
    <col min="7430" max="7430" width="18.33203125" customWidth="1"/>
    <col min="7431" max="7431" width="12" bestFit="1" customWidth="1"/>
    <col min="7432" max="7432" width="17.88671875" bestFit="1" customWidth="1"/>
    <col min="7433" max="7433" width="12.109375" customWidth="1"/>
    <col min="7434" max="7434" width="11" bestFit="1" customWidth="1"/>
    <col min="7681" max="7681" width="8.33203125" bestFit="1" customWidth="1"/>
    <col min="7682" max="7682" width="34.33203125" bestFit="1" customWidth="1"/>
    <col min="7683" max="7683" width="52" bestFit="1" customWidth="1"/>
    <col min="7684" max="7684" width="13.5546875" bestFit="1" customWidth="1"/>
    <col min="7685" max="7685" width="11" bestFit="1" customWidth="1"/>
    <col min="7686" max="7686" width="18.33203125" customWidth="1"/>
    <col min="7687" max="7687" width="12" bestFit="1" customWidth="1"/>
    <col min="7688" max="7688" width="17.88671875" bestFit="1" customWidth="1"/>
    <col min="7689" max="7689" width="12.109375" customWidth="1"/>
    <col min="7690" max="7690" width="11" bestFit="1" customWidth="1"/>
    <col min="7937" max="7937" width="8.33203125" bestFit="1" customWidth="1"/>
    <col min="7938" max="7938" width="34.33203125" bestFit="1" customWidth="1"/>
    <col min="7939" max="7939" width="52" bestFit="1" customWidth="1"/>
    <col min="7940" max="7940" width="13.5546875" bestFit="1" customWidth="1"/>
    <col min="7941" max="7941" width="11" bestFit="1" customWidth="1"/>
    <col min="7942" max="7942" width="18.33203125" customWidth="1"/>
    <col min="7943" max="7943" width="12" bestFit="1" customWidth="1"/>
    <col min="7944" max="7944" width="17.88671875" bestFit="1" customWidth="1"/>
    <col min="7945" max="7945" width="12.109375" customWidth="1"/>
    <col min="7946" max="7946" width="11" bestFit="1" customWidth="1"/>
    <col min="8193" max="8193" width="8.33203125" bestFit="1" customWidth="1"/>
    <col min="8194" max="8194" width="34.33203125" bestFit="1" customWidth="1"/>
    <col min="8195" max="8195" width="52" bestFit="1" customWidth="1"/>
    <col min="8196" max="8196" width="13.5546875" bestFit="1" customWidth="1"/>
    <col min="8197" max="8197" width="11" bestFit="1" customWidth="1"/>
    <col min="8198" max="8198" width="18.33203125" customWidth="1"/>
    <col min="8199" max="8199" width="12" bestFit="1" customWidth="1"/>
    <col min="8200" max="8200" width="17.88671875" bestFit="1" customWidth="1"/>
    <col min="8201" max="8201" width="12.109375" customWidth="1"/>
    <col min="8202" max="8202" width="11" bestFit="1" customWidth="1"/>
    <col min="8449" max="8449" width="8.33203125" bestFit="1" customWidth="1"/>
    <col min="8450" max="8450" width="34.33203125" bestFit="1" customWidth="1"/>
    <col min="8451" max="8451" width="52" bestFit="1" customWidth="1"/>
    <col min="8452" max="8452" width="13.5546875" bestFit="1" customWidth="1"/>
    <col min="8453" max="8453" width="11" bestFit="1" customWidth="1"/>
    <col min="8454" max="8454" width="18.33203125" customWidth="1"/>
    <col min="8455" max="8455" width="12" bestFit="1" customWidth="1"/>
    <col min="8456" max="8456" width="17.88671875" bestFit="1" customWidth="1"/>
    <col min="8457" max="8457" width="12.109375" customWidth="1"/>
    <col min="8458" max="8458" width="11" bestFit="1" customWidth="1"/>
    <col min="8705" max="8705" width="8.33203125" bestFit="1" customWidth="1"/>
    <col min="8706" max="8706" width="34.33203125" bestFit="1" customWidth="1"/>
    <col min="8707" max="8707" width="52" bestFit="1" customWidth="1"/>
    <col min="8708" max="8708" width="13.5546875" bestFit="1" customWidth="1"/>
    <col min="8709" max="8709" width="11" bestFit="1" customWidth="1"/>
    <col min="8710" max="8710" width="18.33203125" customWidth="1"/>
    <col min="8711" max="8711" width="12" bestFit="1" customWidth="1"/>
    <col min="8712" max="8712" width="17.88671875" bestFit="1" customWidth="1"/>
    <col min="8713" max="8713" width="12.109375" customWidth="1"/>
    <col min="8714" max="8714" width="11" bestFit="1" customWidth="1"/>
    <col min="8961" max="8961" width="8.33203125" bestFit="1" customWidth="1"/>
    <col min="8962" max="8962" width="34.33203125" bestFit="1" customWidth="1"/>
    <col min="8963" max="8963" width="52" bestFit="1" customWidth="1"/>
    <col min="8964" max="8964" width="13.5546875" bestFit="1" customWidth="1"/>
    <col min="8965" max="8965" width="11" bestFit="1" customWidth="1"/>
    <col min="8966" max="8966" width="18.33203125" customWidth="1"/>
    <col min="8967" max="8967" width="12" bestFit="1" customWidth="1"/>
    <col min="8968" max="8968" width="17.88671875" bestFit="1" customWidth="1"/>
    <col min="8969" max="8969" width="12.109375" customWidth="1"/>
    <col min="8970" max="8970" width="11" bestFit="1" customWidth="1"/>
    <col min="9217" max="9217" width="8.33203125" bestFit="1" customWidth="1"/>
    <col min="9218" max="9218" width="34.33203125" bestFit="1" customWidth="1"/>
    <col min="9219" max="9219" width="52" bestFit="1" customWidth="1"/>
    <col min="9220" max="9220" width="13.5546875" bestFit="1" customWidth="1"/>
    <col min="9221" max="9221" width="11" bestFit="1" customWidth="1"/>
    <col min="9222" max="9222" width="18.33203125" customWidth="1"/>
    <col min="9223" max="9223" width="12" bestFit="1" customWidth="1"/>
    <col min="9224" max="9224" width="17.88671875" bestFit="1" customWidth="1"/>
    <col min="9225" max="9225" width="12.109375" customWidth="1"/>
    <col min="9226" max="9226" width="11" bestFit="1" customWidth="1"/>
    <col min="9473" max="9473" width="8.33203125" bestFit="1" customWidth="1"/>
    <col min="9474" max="9474" width="34.33203125" bestFit="1" customWidth="1"/>
    <col min="9475" max="9475" width="52" bestFit="1" customWidth="1"/>
    <col min="9476" max="9476" width="13.5546875" bestFit="1" customWidth="1"/>
    <col min="9477" max="9477" width="11" bestFit="1" customWidth="1"/>
    <col min="9478" max="9478" width="18.33203125" customWidth="1"/>
    <col min="9479" max="9479" width="12" bestFit="1" customWidth="1"/>
    <col min="9480" max="9480" width="17.88671875" bestFit="1" customWidth="1"/>
    <col min="9481" max="9481" width="12.109375" customWidth="1"/>
    <col min="9482" max="9482" width="11" bestFit="1" customWidth="1"/>
    <col min="9729" max="9729" width="8.33203125" bestFit="1" customWidth="1"/>
    <col min="9730" max="9730" width="34.33203125" bestFit="1" customWidth="1"/>
    <col min="9731" max="9731" width="52" bestFit="1" customWidth="1"/>
    <col min="9732" max="9732" width="13.5546875" bestFit="1" customWidth="1"/>
    <col min="9733" max="9733" width="11" bestFit="1" customWidth="1"/>
    <col min="9734" max="9734" width="18.33203125" customWidth="1"/>
    <col min="9735" max="9735" width="12" bestFit="1" customWidth="1"/>
    <col min="9736" max="9736" width="17.88671875" bestFit="1" customWidth="1"/>
    <col min="9737" max="9737" width="12.109375" customWidth="1"/>
    <col min="9738" max="9738" width="11" bestFit="1" customWidth="1"/>
    <col min="9985" max="9985" width="8.33203125" bestFit="1" customWidth="1"/>
    <col min="9986" max="9986" width="34.33203125" bestFit="1" customWidth="1"/>
    <col min="9987" max="9987" width="52" bestFit="1" customWidth="1"/>
    <col min="9988" max="9988" width="13.5546875" bestFit="1" customWidth="1"/>
    <col min="9989" max="9989" width="11" bestFit="1" customWidth="1"/>
    <col min="9990" max="9990" width="18.33203125" customWidth="1"/>
    <col min="9991" max="9991" width="12" bestFit="1" customWidth="1"/>
    <col min="9992" max="9992" width="17.88671875" bestFit="1" customWidth="1"/>
    <col min="9993" max="9993" width="12.109375" customWidth="1"/>
    <col min="9994" max="9994" width="11" bestFit="1" customWidth="1"/>
    <col min="10241" max="10241" width="8.33203125" bestFit="1" customWidth="1"/>
    <col min="10242" max="10242" width="34.33203125" bestFit="1" customWidth="1"/>
    <col min="10243" max="10243" width="52" bestFit="1" customWidth="1"/>
    <col min="10244" max="10244" width="13.5546875" bestFit="1" customWidth="1"/>
    <col min="10245" max="10245" width="11" bestFit="1" customWidth="1"/>
    <col min="10246" max="10246" width="18.33203125" customWidth="1"/>
    <col min="10247" max="10247" width="12" bestFit="1" customWidth="1"/>
    <col min="10248" max="10248" width="17.88671875" bestFit="1" customWidth="1"/>
    <col min="10249" max="10249" width="12.109375" customWidth="1"/>
    <col min="10250" max="10250" width="11" bestFit="1" customWidth="1"/>
    <col min="10497" max="10497" width="8.33203125" bestFit="1" customWidth="1"/>
    <col min="10498" max="10498" width="34.33203125" bestFit="1" customWidth="1"/>
    <col min="10499" max="10499" width="52" bestFit="1" customWidth="1"/>
    <col min="10500" max="10500" width="13.5546875" bestFit="1" customWidth="1"/>
    <col min="10501" max="10501" width="11" bestFit="1" customWidth="1"/>
    <col min="10502" max="10502" width="18.33203125" customWidth="1"/>
    <col min="10503" max="10503" width="12" bestFit="1" customWidth="1"/>
    <col min="10504" max="10504" width="17.88671875" bestFit="1" customWidth="1"/>
    <col min="10505" max="10505" width="12.109375" customWidth="1"/>
    <col min="10506" max="10506" width="11" bestFit="1" customWidth="1"/>
    <col min="10753" max="10753" width="8.33203125" bestFit="1" customWidth="1"/>
    <col min="10754" max="10754" width="34.33203125" bestFit="1" customWidth="1"/>
    <col min="10755" max="10755" width="52" bestFit="1" customWidth="1"/>
    <col min="10756" max="10756" width="13.5546875" bestFit="1" customWidth="1"/>
    <col min="10757" max="10757" width="11" bestFit="1" customWidth="1"/>
    <col min="10758" max="10758" width="18.33203125" customWidth="1"/>
    <col min="10759" max="10759" width="12" bestFit="1" customWidth="1"/>
    <col min="10760" max="10760" width="17.88671875" bestFit="1" customWidth="1"/>
    <col min="10761" max="10761" width="12.109375" customWidth="1"/>
    <col min="10762" max="10762" width="11" bestFit="1" customWidth="1"/>
    <col min="11009" max="11009" width="8.33203125" bestFit="1" customWidth="1"/>
    <col min="11010" max="11010" width="34.33203125" bestFit="1" customWidth="1"/>
    <col min="11011" max="11011" width="52" bestFit="1" customWidth="1"/>
    <col min="11012" max="11012" width="13.5546875" bestFit="1" customWidth="1"/>
    <col min="11013" max="11013" width="11" bestFit="1" customWidth="1"/>
    <col min="11014" max="11014" width="18.33203125" customWidth="1"/>
    <col min="11015" max="11015" width="12" bestFit="1" customWidth="1"/>
    <col min="11016" max="11016" width="17.88671875" bestFit="1" customWidth="1"/>
    <col min="11017" max="11017" width="12.109375" customWidth="1"/>
    <col min="11018" max="11018" width="11" bestFit="1" customWidth="1"/>
    <col min="11265" max="11265" width="8.33203125" bestFit="1" customWidth="1"/>
    <col min="11266" max="11266" width="34.33203125" bestFit="1" customWidth="1"/>
    <col min="11267" max="11267" width="52" bestFit="1" customWidth="1"/>
    <col min="11268" max="11268" width="13.5546875" bestFit="1" customWidth="1"/>
    <col min="11269" max="11269" width="11" bestFit="1" customWidth="1"/>
    <col min="11270" max="11270" width="18.33203125" customWidth="1"/>
    <col min="11271" max="11271" width="12" bestFit="1" customWidth="1"/>
    <col min="11272" max="11272" width="17.88671875" bestFit="1" customWidth="1"/>
    <col min="11273" max="11273" width="12.109375" customWidth="1"/>
    <col min="11274" max="11274" width="11" bestFit="1" customWidth="1"/>
    <col min="11521" max="11521" width="8.33203125" bestFit="1" customWidth="1"/>
    <col min="11522" max="11522" width="34.33203125" bestFit="1" customWidth="1"/>
    <col min="11523" max="11523" width="52" bestFit="1" customWidth="1"/>
    <col min="11524" max="11524" width="13.5546875" bestFit="1" customWidth="1"/>
    <col min="11525" max="11525" width="11" bestFit="1" customWidth="1"/>
    <col min="11526" max="11526" width="18.33203125" customWidth="1"/>
    <col min="11527" max="11527" width="12" bestFit="1" customWidth="1"/>
    <col min="11528" max="11528" width="17.88671875" bestFit="1" customWidth="1"/>
    <col min="11529" max="11529" width="12.109375" customWidth="1"/>
    <col min="11530" max="11530" width="11" bestFit="1" customWidth="1"/>
    <col min="11777" max="11777" width="8.33203125" bestFit="1" customWidth="1"/>
    <col min="11778" max="11778" width="34.33203125" bestFit="1" customWidth="1"/>
    <col min="11779" max="11779" width="52" bestFit="1" customWidth="1"/>
    <col min="11780" max="11780" width="13.5546875" bestFit="1" customWidth="1"/>
    <col min="11781" max="11781" width="11" bestFit="1" customWidth="1"/>
    <col min="11782" max="11782" width="18.33203125" customWidth="1"/>
    <col min="11783" max="11783" width="12" bestFit="1" customWidth="1"/>
    <col min="11784" max="11784" width="17.88671875" bestFit="1" customWidth="1"/>
    <col min="11785" max="11785" width="12.109375" customWidth="1"/>
    <col min="11786" max="11786" width="11" bestFit="1" customWidth="1"/>
    <col min="12033" max="12033" width="8.33203125" bestFit="1" customWidth="1"/>
    <col min="12034" max="12034" width="34.33203125" bestFit="1" customWidth="1"/>
    <col min="12035" max="12035" width="52" bestFit="1" customWidth="1"/>
    <col min="12036" max="12036" width="13.5546875" bestFit="1" customWidth="1"/>
    <col min="12037" max="12037" width="11" bestFit="1" customWidth="1"/>
    <col min="12038" max="12038" width="18.33203125" customWidth="1"/>
    <col min="12039" max="12039" width="12" bestFit="1" customWidth="1"/>
    <col min="12040" max="12040" width="17.88671875" bestFit="1" customWidth="1"/>
    <col min="12041" max="12041" width="12.109375" customWidth="1"/>
    <col min="12042" max="12042" width="11" bestFit="1" customWidth="1"/>
    <col min="12289" max="12289" width="8.33203125" bestFit="1" customWidth="1"/>
    <col min="12290" max="12290" width="34.33203125" bestFit="1" customWidth="1"/>
    <col min="12291" max="12291" width="52" bestFit="1" customWidth="1"/>
    <col min="12292" max="12292" width="13.5546875" bestFit="1" customWidth="1"/>
    <col min="12293" max="12293" width="11" bestFit="1" customWidth="1"/>
    <col min="12294" max="12294" width="18.33203125" customWidth="1"/>
    <col min="12295" max="12295" width="12" bestFit="1" customWidth="1"/>
    <col min="12296" max="12296" width="17.88671875" bestFit="1" customWidth="1"/>
    <col min="12297" max="12297" width="12.109375" customWidth="1"/>
    <col min="12298" max="12298" width="11" bestFit="1" customWidth="1"/>
    <col min="12545" max="12545" width="8.33203125" bestFit="1" customWidth="1"/>
    <col min="12546" max="12546" width="34.33203125" bestFit="1" customWidth="1"/>
    <col min="12547" max="12547" width="52" bestFit="1" customWidth="1"/>
    <col min="12548" max="12548" width="13.5546875" bestFit="1" customWidth="1"/>
    <col min="12549" max="12549" width="11" bestFit="1" customWidth="1"/>
    <col min="12550" max="12550" width="18.33203125" customWidth="1"/>
    <col min="12551" max="12551" width="12" bestFit="1" customWidth="1"/>
    <col min="12552" max="12552" width="17.88671875" bestFit="1" customWidth="1"/>
    <col min="12553" max="12553" width="12.109375" customWidth="1"/>
    <col min="12554" max="12554" width="11" bestFit="1" customWidth="1"/>
    <col min="12801" max="12801" width="8.33203125" bestFit="1" customWidth="1"/>
    <col min="12802" max="12802" width="34.33203125" bestFit="1" customWidth="1"/>
    <col min="12803" max="12803" width="52" bestFit="1" customWidth="1"/>
    <col min="12804" max="12804" width="13.5546875" bestFit="1" customWidth="1"/>
    <col min="12805" max="12805" width="11" bestFit="1" customWidth="1"/>
    <col min="12806" max="12806" width="18.33203125" customWidth="1"/>
    <col min="12807" max="12807" width="12" bestFit="1" customWidth="1"/>
    <col min="12808" max="12808" width="17.88671875" bestFit="1" customWidth="1"/>
    <col min="12809" max="12809" width="12.109375" customWidth="1"/>
    <col min="12810" max="12810" width="11" bestFit="1" customWidth="1"/>
    <col min="13057" max="13057" width="8.33203125" bestFit="1" customWidth="1"/>
    <col min="13058" max="13058" width="34.33203125" bestFit="1" customWidth="1"/>
    <col min="13059" max="13059" width="52" bestFit="1" customWidth="1"/>
    <col min="13060" max="13060" width="13.5546875" bestFit="1" customWidth="1"/>
    <col min="13061" max="13061" width="11" bestFit="1" customWidth="1"/>
    <col min="13062" max="13062" width="18.33203125" customWidth="1"/>
    <col min="13063" max="13063" width="12" bestFit="1" customWidth="1"/>
    <col min="13064" max="13064" width="17.88671875" bestFit="1" customWidth="1"/>
    <col min="13065" max="13065" width="12.109375" customWidth="1"/>
    <col min="13066" max="13066" width="11" bestFit="1" customWidth="1"/>
    <col min="13313" max="13313" width="8.33203125" bestFit="1" customWidth="1"/>
    <col min="13314" max="13314" width="34.33203125" bestFit="1" customWidth="1"/>
    <col min="13315" max="13315" width="52" bestFit="1" customWidth="1"/>
    <col min="13316" max="13316" width="13.5546875" bestFit="1" customWidth="1"/>
    <col min="13317" max="13317" width="11" bestFit="1" customWidth="1"/>
    <col min="13318" max="13318" width="18.33203125" customWidth="1"/>
    <col min="13319" max="13319" width="12" bestFit="1" customWidth="1"/>
    <col min="13320" max="13320" width="17.88671875" bestFit="1" customWidth="1"/>
    <col min="13321" max="13321" width="12.109375" customWidth="1"/>
    <col min="13322" max="13322" width="11" bestFit="1" customWidth="1"/>
    <col min="13569" max="13569" width="8.33203125" bestFit="1" customWidth="1"/>
    <col min="13570" max="13570" width="34.33203125" bestFit="1" customWidth="1"/>
    <col min="13571" max="13571" width="52" bestFit="1" customWidth="1"/>
    <col min="13572" max="13572" width="13.5546875" bestFit="1" customWidth="1"/>
    <col min="13573" max="13573" width="11" bestFit="1" customWidth="1"/>
    <col min="13574" max="13574" width="18.33203125" customWidth="1"/>
    <col min="13575" max="13575" width="12" bestFit="1" customWidth="1"/>
    <col min="13576" max="13576" width="17.88671875" bestFit="1" customWidth="1"/>
    <col min="13577" max="13577" width="12.109375" customWidth="1"/>
    <col min="13578" max="13578" width="11" bestFit="1" customWidth="1"/>
    <col min="13825" max="13825" width="8.33203125" bestFit="1" customWidth="1"/>
    <col min="13826" max="13826" width="34.33203125" bestFit="1" customWidth="1"/>
    <col min="13827" max="13827" width="52" bestFit="1" customWidth="1"/>
    <col min="13828" max="13828" width="13.5546875" bestFit="1" customWidth="1"/>
    <col min="13829" max="13829" width="11" bestFit="1" customWidth="1"/>
    <col min="13830" max="13830" width="18.33203125" customWidth="1"/>
    <col min="13831" max="13831" width="12" bestFit="1" customWidth="1"/>
    <col min="13832" max="13832" width="17.88671875" bestFit="1" customWidth="1"/>
    <col min="13833" max="13833" width="12.109375" customWidth="1"/>
    <col min="13834" max="13834" width="11" bestFit="1" customWidth="1"/>
    <col min="14081" max="14081" width="8.33203125" bestFit="1" customWidth="1"/>
    <col min="14082" max="14082" width="34.33203125" bestFit="1" customWidth="1"/>
    <col min="14083" max="14083" width="52" bestFit="1" customWidth="1"/>
    <col min="14084" max="14084" width="13.5546875" bestFit="1" customWidth="1"/>
    <col min="14085" max="14085" width="11" bestFit="1" customWidth="1"/>
    <col min="14086" max="14086" width="18.33203125" customWidth="1"/>
    <col min="14087" max="14087" width="12" bestFit="1" customWidth="1"/>
    <col min="14088" max="14088" width="17.88671875" bestFit="1" customWidth="1"/>
    <col min="14089" max="14089" width="12.109375" customWidth="1"/>
    <col min="14090" max="14090" width="11" bestFit="1" customWidth="1"/>
    <col min="14337" max="14337" width="8.33203125" bestFit="1" customWidth="1"/>
    <col min="14338" max="14338" width="34.33203125" bestFit="1" customWidth="1"/>
    <col min="14339" max="14339" width="52" bestFit="1" customWidth="1"/>
    <col min="14340" max="14340" width="13.5546875" bestFit="1" customWidth="1"/>
    <col min="14341" max="14341" width="11" bestFit="1" customWidth="1"/>
    <col min="14342" max="14342" width="18.33203125" customWidth="1"/>
    <col min="14343" max="14343" width="12" bestFit="1" customWidth="1"/>
    <col min="14344" max="14344" width="17.88671875" bestFit="1" customWidth="1"/>
    <col min="14345" max="14345" width="12.109375" customWidth="1"/>
    <col min="14346" max="14346" width="11" bestFit="1" customWidth="1"/>
    <col min="14593" max="14593" width="8.33203125" bestFit="1" customWidth="1"/>
    <col min="14594" max="14594" width="34.33203125" bestFit="1" customWidth="1"/>
    <col min="14595" max="14595" width="52" bestFit="1" customWidth="1"/>
    <col min="14596" max="14596" width="13.5546875" bestFit="1" customWidth="1"/>
    <col min="14597" max="14597" width="11" bestFit="1" customWidth="1"/>
    <col min="14598" max="14598" width="18.33203125" customWidth="1"/>
    <col min="14599" max="14599" width="12" bestFit="1" customWidth="1"/>
    <col min="14600" max="14600" width="17.88671875" bestFit="1" customWidth="1"/>
    <col min="14601" max="14601" width="12.109375" customWidth="1"/>
    <col min="14602" max="14602" width="11" bestFit="1" customWidth="1"/>
    <col min="14849" max="14849" width="8.33203125" bestFit="1" customWidth="1"/>
    <col min="14850" max="14850" width="34.33203125" bestFit="1" customWidth="1"/>
    <col min="14851" max="14851" width="52" bestFit="1" customWidth="1"/>
    <col min="14852" max="14852" width="13.5546875" bestFit="1" customWidth="1"/>
    <col min="14853" max="14853" width="11" bestFit="1" customWidth="1"/>
    <col min="14854" max="14854" width="18.33203125" customWidth="1"/>
    <col min="14855" max="14855" width="12" bestFit="1" customWidth="1"/>
    <col min="14856" max="14856" width="17.88671875" bestFit="1" customWidth="1"/>
    <col min="14857" max="14857" width="12.109375" customWidth="1"/>
    <col min="14858" max="14858" width="11" bestFit="1" customWidth="1"/>
    <col min="15105" max="15105" width="8.33203125" bestFit="1" customWidth="1"/>
    <col min="15106" max="15106" width="34.33203125" bestFit="1" customWidth="1"/>
    <col min="15107" max="15107" width="52" bestFit="1" customWidth="1"/>
    <col min="15108" max="15108" width="13.5546875" bestFit="1" customWidth="1"/>
    <col min="15109" max="15109" width="11" bestFit="1" customWidth="1"/>
    <col min="15110" max="15110" width="18.33203125" customWidth="1"/>
    <col min="15111" max="15111" width="12" bestFit="1" customWidth="1"/>
    <col min="15112" max="15112" width="17.88671875" bestFit="1" customWidth="1"/>
    <col min="15113" max="15113" width="12.109375" customWidth="1"/>
    <col min="15114" max="15114" width="11" bestFit="1" customWidth="1"/>
    <col min="15361" max="15361" width="8.33203125" bestFit="1" customWidth="1"/>
    <col min="15362" max="15362" width="34.33203125" bestFit="1" customWidth="1"/>
    <col min="15363" max="15363" width="52" bestFit="1" customWidth="1"/>
    <col min="15364" max="15364" width="13.5546875" bestFit="1" customWidth="1"/>
    <col min="15365" max="15365" width="11" bestFit="1" customWidth="1"/>
    <col min="15366" max="15366" width="18.33203125" customWidth="1"/>
    <col min="15367" max="15367" width="12" bestFit="1" customWidth="1"/>
    <col min="15368" max="15368" width="17.88671875" bestFit="1" customWidth="1"/>
    <col min="15369" max="15369" width="12.109375" customWidth="1"/>
    <col min="15370" max="15370" width="11" bestFit="1" customWidth="1"/>
    <col min="15617" max="15617" width="8.33203125" bestFit="1" customWidth="1"/>
    <col min="15618" max="15618" width="34.33203125" bestFit="1" customWidth="1"/>
    <col min="15619" max="15619" width="52" bestFit="1" customWidth="1"/>
    <col min="15620" max="15620" width="13.5546875" bestFit="1" customWidth="1"/>
    <col min="15621" max="15621" width="11" bestFit="1" customWidth="1"/>
    <col min="15622" max="15622" width="18.33203125" customWidth="1"/>
    <col min="15623" max="15623" width="12" bestFit="1" customWidth="1"/>
    <col min="15624" max="15624" width="17.88671875" bestFit="1" customWidth="1"/>
    <col min="15625" max="15625" width="12.109375" customWidth="1"/>
    <col min="15626" max="15626" width="11" bestFit="1" customWidth="1"/>
    <col min="15873" max="15873" width="8.33203125" bestFit="1" customWidth="1"/>
    <col min="15874" max="15874" width="34.33203125" bestFit="1" customWidth="1"/>
    <col min="15875" max="15875" width="52" bestFit="1" customWidth="1"/>
    <col min="15876" max="15876" width="13.5546875" bestFit="1" customWidth="1"/>
    <col min="15877" max="15877" width="11" bestFit="1" customWidth="1"/>
    <col min="15878" max="15878" width="18.33203125" customWidth="1"/>
    <col min="15879" max="15879" width="12" bestFit="1" customWidth="1"/>
    <col min="15880" max="15880" width="17.88671875" bestFit="1" customWidth="1"/>
    <col min="15881" max="15881" width="12.109375" customWidth="1"/>
    <col min="15882" max="15882" width="11" bestFit="1" customWidth="1"/>
    <col min="16129" max="16129" width="8.33203125" bestFit="1" customWidth="1"/>
    <col min="16130" max="16130" width="34.33203125" bestFit="1" customWidth="1"/>
    <col min="16131" max="16131" width="52" bestFit="1" customWidth="1"/>
    <col min="16132" max="16132" width="13.5546875" bestFit="1" customWidth="1"/>
    <col min="16133" max="16133" width="11" bestFit="1" customWidth="1"/>
    <col min="16134" max="16134" width="18.33203125" customWidth="1"/>
    <col min="16135" max="16135" width="12" bestFit="1" customWidth="1"/>
    <col min="16136" max="16136" width="17.88671875" bestFit="1" customWidth="1"/>
    <col min="16137" max="16137" width="12.109375" customWidth="1"/>
    <col min="16138" max="16138" width="11" bestFit="1" customWidth="1"/>
  </cols>
  <sheetData>
    <row r="1" spans="1:10" x14ac:dyDescent="0.3">
      <c r="A1" s="6"/>
      <c r="B1" s="42" t="s">
        <v>28</v>
      </c>
      <c r="C1" s="42"/>
      <c r="D1" s="42"/>
      <c r="E1" s="42"/>
      <c r="F1" s="42"/>
      <c r="G1" s="42"/>
      <c r="H1" s="42"/>
      <c r="I1" s="42"/>
      <c r="J1" s="42"/>
    </row>
    <row r="2" spans="1:10" x14ac:dyDescent="0.3">
      <c r="A2" s="7" t="s">
        <v>29</v>
      </c>
      <c r="B2" s="7" t="s">
        <v>30</v>
      </c>
      <c r="C2" s="8" t="s">
        <v>31</v>
      </c>
      <c r="D2" s="9" t="s">
        <v>32</v>
      </c>
      <c r="E2" s="10" t="s">
        <v>33</v>
      </c>
      <c r="F2" s="7" t="s">
        <v>34</v>
      </c>
      <c r="G2" s="11" t="s">
        <v>35</v>
      </c>
      <c r="H2" s="12" t="s">
        <v>36</v>
      </c>
      <c r="I2" s="12" t="s">
        <v>37</v>
      </c>
      <c r="J2" s="12" t="s">
        <v>38</v>
      </c>
    </row>
    <row r="3" spans="1:10" x14ac:dyDescent="0.3">
      <c r="A3" s="13">
        <v>1</v>
      </c>
      <c r="B3" s="14" t="s">
        <v>39</v>
      </c>
      <c r="C3" s="15" t="s">
        <v>40</v>
      </c>
      <c r="D3" s="16" t="s">
        <v>41</v>
      </c>
      <c r="E3" s="17">
        <v>9</v>
      </c>
      <c r="F3" s="18" t="s">
        <v>42</v>
      </c>
      <c r="G3" s="19">
        <f>550*26*E3</f>
        <v>128700</v>
      </c>
      <c r="H3" s="2">
        <v>26</v>
      </c>
      <c r="I3" s="20">
        <v>0.12</v>
      </c>
      <c r="J3" s="21">
        <f t="shared" ref="J3:J14" si="0">G3*I3</f>
        <v>15444</v>
      </c>
    </row>
    <row r="4" spans="1:10" x14ac:dyDescent="0.3">
      <c r="A4" s="13">
        <v>2</v>
      </c>
      <c r="B4" s="14" t="s">
        <v>43</v>
      </c>
      <c r="C4" s="22" t="s">
        <v>44</v>
      </c>
      <c r="D4" s="16" t="s">
        <v>45</v>
      </c>
      <c r="E4" s="17">
        <v>1</v>
      </c>
      <c r="F4" s="18" t="s">
        <v>46</v>
      </c>
      <c r="G4" s="19">
        <v>56000</v>
      </c>
      <c r="H4" s="2" t="s">
        <v>47</v>
      </c>
      <c r="I4" s="20">
        <v>0.12</v>
      </c>
      <c r="J4" s="21">
        <f t="shared" si="0"/>
        <v>6720</v>
      </c>
    </row>
    <row r="5" spans="1:10" x14ac:dyDescent="0.3">
      <c r="A5" s="13">
        <v>3</v>
      </c>
      <c r="B5" s="23" t="s">
        <v>48</v>
      </c>
      <c r="C5" s="24" t="s">
        <v>49</v>
      </c>
      <c r="D5" s="3"/>
      <c r="E5" s="25">
        <v>1</v>
      </c>
      <c r="F5" s="18" t="s">
        <v>50</v>
      </c>
      <c r="G5" s="19">
        <v>40000</v>
      </c>
      <c r="H5" s="2" t="s">
        <v>51</v>
      </c>
      <c r="I5" s="20">
        <v>0.18</v>
      </c>
      <c r="J5" s="21">
        <f t="shared" si="0"/>
        <v>7200</v>
      </c>
    </row>
    <row r="6" spans="1:10" x14ac:dyDescent="0.3">
      <c r="A6" s="13">
        <v>4</v>
      </c>
      <c r="B6" s="14" t="s">
        <v>52</v>
      </c>
      <c r="C6" s="15" t="s">
        <v>53</v>
      </c>
      <c r="D6" s="3" t="s">
        <v>54</v>
      </c>
      <c r="E6" s="17">
        <v>8</v>
      </c>
      <c r="F6" s="18" t="s">
        <v>50</v>
      </c>
      <c r="G6" s="19">
        <f>400</f>
        <v>400</v>
      </c>
      <c r="H6" s="2" t="s">
        <v>55</v>
      </c>
      <c r="I6" s="20">
        <v>0.18</v>
      </c>
      <c r="J6" s="21">
        <f t="shared" si="0"/>
        <v>72</v>
      </c>
    </row>
    <row r="7" spans="1:10" x14ac:dyDescent="0.3">
      <c r="A7" s="13">
        <v>5</v>
      </c>
      <c r="B7" s="23" t="s">
        <v>56</v>
      </c>
      <c r="C7" s="15" t="s">
        <v>57</v>
      </c>
      <c r="D7" s="3" t="s">
        <v>54</v>
      </c>
      <c r="E7" s="17">
        <v>20</v>
      </c>
      <c r="F7" s="18" t="s">
        <v>58</v>
      </c>
      <c r="G7" s="19">
        <f>40*E7</f>
        <v>800</v>
      </c>
      <c r="H7" s="2" t="s">
        <v>59</v>
      </c>
      <c r="I7" s="20">
        <v>0.18</v>
      </c>
      <c r="J7" s="21">
        <f t="shared" si="0"/>
        <v>144</v>
      </c>
    </row>
    <row r="8" spans="1:10" x14ac:dyDescent="0.3">
      <c r="A8" s="13">
        <v>6</v>
      </c>
      <c r="B8" s="23" t="s">
        <v>60</v>
      </c>
      <c r="C8" s="15" t="s">
        <v>61</v>
      </c>
      <c r="D8" s="3" t="s">
        <v>54</v>
      </c>
      <c r="E8" s="17">
        <v>20</v>
      </c>
      <c r="F8" s="18" t="s">
        <v>58</v>
      </c>
      <c r="G8" s="19">
        <v>0</v>
      </c>
      <c r="H8" s="2" t="s">
        <v>62</v>
      </c>
      <c r="I8" s="20">
        <v>0.18</v>
      </c>
      <c r="J8" s="2">
        <f t="shared" si="0"/>
        <v>0</v>
      </c>
    </row>
    <row r="9" spans="1:10" x14ac:dyDescent="0.3">
      <c r="A9" s="13">
        <v>8</v>
      </c>
      <c r="B9" s="23" t="s">
        <v>63</v>
      </c>
      <c r="C9" s="22" t="s">
        <v>64</v>
      </c>
      <c r="D9" s="3" t="s">
        <v>54</v>
      </c>
      <c r="E9" s="17">
        <v>90</v>
      </c>
      <c r="F9" s="18" t="s">
        <v>58</v>
      </c>
      <c r="G9" s="19">
        <v>0</v>
      </c>
      <c r="H9" s="2" t="s">
        <v>65</v>
      </c>
      <c r="I9" s="20">
        <v>0.18</v>
      </c>
      <c r="J9" s="2">
        <f t="shared" si="0"/>
        <v>0</v>
      </c>
    </row>
    <row r="10" spans="1:10" x14ac:dyDescent="0.3">
      <c r="A10" s="13">
        <v>10</v>
      </c>
      <c r="B10" s="23" t="s">
        <v>66</v>
      </c>
      <c r="C10" s="22" t="s">
        <v>67</v>
      </c>
      <c r="D10" s="3" t="s">
        <v>54</v>
      </c>
      <c r="E10" s="17">
        <v>1</v>
      </c>
      <c r="F10" s="18" t="s">
        <v>46</v>
      </c>
      <c r="G10" s="19">
        <v>3000</v>
      </c>
      <c r="H10" s="2" t="s">
        <v>68</v>
      </c>
      <c r="I10" s="20">
        <v>0.18</v>
      </c>
      <c r="J10" s="2">
        <f t="shared" si="0"/>
        <v>540</v>
      </c>
    </row>
    <row r="11" spans="1:10" x14ac:dyDescent="0.3">
      <c r="A11" s="13">
        <v>11</v>
      </c>
      <c r="B11" s="23" t="s">
        <v>69</v>
      </c>
      <c r="C11" s="22" t="s">
        <v>67</v>
      </c>
      <c r="D11" s="3" t="s">
        <v>54</v>
      </c>
      <c r="E11" s="17">
        <v>1</v>
      </c>
      <c r="F11" s="18" t="s">
        <v>46</v>
      </c>
      <c r="G11" s="19">
        <v>3000</v>
      </c>
      <c r="H11" s="2" t="s">
        <v>68</v>
      </c>
      <c r="I11" s="20">
        <v>0.18</v>
      </c>
      <c r="J11" s="2">
        <f t="shared" si="0"/>
        <v>540</v>
      </c>
    </row>
    <row r="12" spans="1:10" x14ac:dyDescent="0.3">
      <c r="A12" s="13">
        <v>12</v>
      </c>
      <c r="B12" s="26" t="s">
        <v>70</v>
      </c>
      <c r="C12" s="27" t="s">
        <v>71</v>
      </c>
      <c r="D12" s="3" t="s">
        <v>54</v>
      </c>
      <c r="E12" s="28">
        <v>12</v>
      </c>
      <c r="F12" s="18" t="s">
        <v>46</v>
      </c>
      <c r="G12" s="29">
        <f>35*E12</f>
        <v>420</v>
      </c>
      <c r="H12" s="2" t="s">
        <v>72</v>
      </c>
      <c r="I12" s="20">
        <v>0.18</v>
      </c>
      <c r="J12" s="2">
        <f t="shared" si="0"/>
        <v>75.599999999999994</v>
      </c>
    </row>
    <row r="13" spans="1:10" x14ac:dyDescent="0.3">
      <c r="A13" s="13">
        <v>13</v>
      </c>
      <c r="B13" s="26" t="s">
        <v>70</v>
      </c>
      <c r="C13" s="27" t="s">
        <v>73</v>
      </c>
      <c r="D13" s="3" t="s">
        <v>54</v>
      </c>
      <c r="E13" s="28">
        <v>12</v>
      </c>
      <c r="F13" s="18" t="s">
        <v>46</v>
      </c>
      <c r="G13" s="29">
        <f>35*E13</f>
        <v>420</v>
      </c>
      <c r="H13" s="2" t="s">
        <v>72</v>
      </c>
      <c r="I13" s="20">
        <v>0.18</v>
      </c>
      <c r="J13" s="2">
        <f t="shared" si="0"/>
        <v>75.599999999999994</v>
      </c>
    </row>
    <row r="14" spans="1:10" x14ac:dyDescent="0.3">
      <c r="A14" s="13">
        <v>14</v>
      </c>
      <c r="B14" s="14" t="s">
        <v>74</v>
      </c>
      <c r="C14" s="15" t="s">
        <v>75</v>
      </c>
      <c r="D14" s="3" t="s">
        <v>54</v>
      </c>
      <c r="E14" s="17">
        <v>1</v>
      </c>
      <c r="F14" s="18" t="s">
        <v>76</v>
      </c>
      <c r="G14" s="19">
        <f>150*E14</f>
        <v>150</v>
      </c>
      <c r="H14" s="2" t="s">
        <v>77</v>
      </c>
      <c r="I14" s="20">
        <v>0.18</v>
      </c>
      <c r="J14" s="2">
        <f t="shared" si="0"/>
        <v>27</v>
      </c>
    </row>
    <row r="15" spans="1:10" x14ac:dyDescent="0.3">
      <c r="A15" s="13">
        <v>15</v>
      </c>
      <c r="B15" s="30" t="s">
        <v>78</v>
      </c>
      <c r="C15" s="31" t="s">
        <v>79</v>
      </c>
      <c r="D15" s="3" t="s">
        <v>54</v>
      </c>
      <c r="E15" s="17">
        <v>2</v>
      </c>
      <c r="F15" s="18" t="s">
        <v>46</v>
      </c>
      <c r="G15" s="19">
        <v>0</v>
      </c>
      <c r="H15" s="2" t="s">
        <v>80</v>
      </c>
      <c r="I15" s="2"/>
      <c r="J15" s="2"/>
    </row>
    <row r="16" spans="1:10" x14ac:dyDescent="0.3">
      <c r="A16" s="13">
        <v>16</v>
      </c>
      <c r="B16" s="14" t="s">
        <v>81</v>
      </c>
      <c r="C16" s="15" t="s">
        <v>82</v>
      </c>
      <c r="D16" s="3" t="s">
        <v>54</v>
      </c>
      <c r="E16" s="17">
        <v>30</v>
      </c>
      <c r="F16" s="18" t="s">
        <v>58</v>
      </c>
      <c r="G16" s="19">
        <v>3759</v>
      </c>
      <c r="H16" s="2" t="s">
        <v>83</v>
      </c>
      <c r="I16" s="20">
        <v>0.18</v>
      </c>
      <c r="J16" s="2">
        <f>G16*I16</f>
        <v>676.62</v>
      </c>
    </row>
    <row r="17" spans="1:10" x14ac:dyDescent="0.3">
      <c r="A17" s="13">
        <v>17</v>
      </c>
      <c r="B17" s="14" t="s">
        <v>84</v>
      </c>
      <c r="C17" s="15" t="s">
        <v>85</v>
      </c>
      <c r="D17" s="3" t="s">
        <v>54</v>
      </c>
      <c r="E17" s="17">
        <v>6</v>
      </c>
      <c r="F17" s="18" t="s">
        <v>46</v>
      </c>
      <c r="G17" s="19">
        <v>200</v>
      </c>
      <c r="H17" s="2"/>
      <c r="I17" s="20">
        <v>0.18</v>
      </c>
      <c r="J17" s="2">
        <f>G17*I17</f>
        <v>36</v>
      </c>
    </row>
    <row r="18" spans="1:10" x14ac:dyDescent="0.3">
      <c r="A18" s="13">
        <v>18</v>
      </c>
      <c r="B18" s="14" t="s">
        <v>84</v>
      </c>
      <c r="C18" s="15" t="s">
        <v>86</v>
      </c>
      <c r="D18" s="3" t="s">
        <v>54</v>
      </c>
      <c r="E18" s="17">
        <v>6</v>
      </c>
      <c r="F18" s="18" t="s">
        <v>46</v>
      </c>
      <c r="G18" s="19">
        <v>200</v>
      </c>
      <c r="H18" s="2"/>
      <c r="I18" s="20">
        <v>0.18</v>
      </c>
      <c r="J18" s="2">
        <f t="shared" ref="J18:J25" si="1">G18*I18</f>
        <v>36</v>
      </c>
    </row>
    <row r="19" spans="1:10" x14ac:dyDescent="0.3">
      <c r="A19" s="13">
        <v>19</v>
      </c>
      <c r="B19" s="14" t="s">
        <v>87</v>
      </c>
      <c r="C19" s="15" t="s">
        <v>82</v>
      </c>
      <c r="D19" s="3" t="s">
        <v>54</v>
      </c>
      <c r="E19" s="17">
        <v>3</v>
      </c>
      <c r="F19" s="18" t="s">
        <v>88</v>
      </c>
      <c r="G19" s="19">
        <v>100</v>
      </c>
      <c r="H19" s="2"/>
      <c r="I19" s="20">
        <v>0.18</v>
      </c>
      <c r="J19" s="2">
        <f t="shared" si="1"/>
        <v>18</v>
      </c>
    </row>
    <row r="20" spans="1:10" x14ac:dyDescent="0.3">
      <c r="A20" s="13">
        <v>20</v>
      </c>
      <c r="B20" s="14" t="s">
        <v>89</v>
      </c>
      <c r="C20" s="15" t="s">
        <v>90</v>
      </c>
      <c r="D20" s="3" t="s">
        <v>54</v>
      </c>
      <c r="E20" s="17">
        <v>4</v>
      </c>
      <c r="F20" s="18" t="s">
        <v>91</v>
      </c>
      <c r="G20" s="19">
        <v>100</v>
      </c>
      <c r="H20" s="2"/>
      <c r="I20" s="20">
        <v>0.18</v>
      </c>
      <c r="J20" s="2">
        <f t="shared" si="1"/>
        <v>18</v>
      </c>
    </row>
    <row r="21" spans="1:10" x14ac:dyDescent="0.3">
      <c r="A21" s="13">
        <v>21</v>
      </c>
      <c r="B21" s="14" t="s">
        <v>92</v>
      </c>
      <c r="C21" s="15" t="s">
        <v>93</v>
      </c>
      <c r="D21" s="3" t="s">
        <v>54</v>
      </c>
      <c r="E21" s="17">
        <v>50</v>
      </c>
      <c r="F21" s="18" t="s">
        <v>91</v>
      </c>
      <c r="G21" s="19">
        <v>2000</v>
      </c>
      <c r="H21" s="2"/>
      <c r="I21" s="20">
        <v>0.18</v>
      </c>
      <c r="J21" s="2">
        <f t="shared" si="1"/>
        <v>360</v>
      </c>
    </row>
    <row r="22" spans="1:10" x14ac:dyDescent="0.3">
      <c r="A22" s="13">
        <v>22</v>
      </c>
      <c r="B22" s="23" t="s">
        <v>94</v>
      </c>
      <c r="C22" s="22" t="s">
        <v>95</v>
      </c>
      <c r="D22" s="3" t="s">
        <v>54</v>
      </c>
      <c r="E22" s="17">
        <v>3</v>
      </c>
      <c r="F22" s="18" t="s">
        <v>50</v>
      </c>
      <c r="G22" s="19">
        <v>2500</v>
      </c>
      <c r="H22" s="2"/>
      <c r="I22" s="20">
        <v>0.18</v>
      </c>
      <c r="J22" s="2">
        <f t="shared" si="1"/>
        <v>450</v>
      </c>
    </row>
    <row r="23" spans="1:10" x14ac:dyDescent="0.3">
      <c r="A23" s="13">
        <v>23</v>
      </c>
      <c r="B23" s="14" t="s">
        <v>96</v>
      </c>
      <c r="C23" s="15"/>
      <c r="D23" s="3" t="s">
        <v>54</v>
      </c>
      <c r="E23" s="17">
        <v>1</v>
      </c>
      <c r="F23" s="18" t="s">
        <v>97</v>
      </c>
      <c r="G23" s="19">
        <v>1500</v>
      </c>
      <c r="H23" s="2"/>
      <c r="I23" s="20">
        <v>0.18</v>
      </c>
      <c r="J23" s="2">
        <f t="shared" si="1"/>
        <v>270</v>
      </c>
    </row>
    <row r="24" spans="1:10" x14ac:dyDescent="0.3">
      <c r="A24" s="13">
        <v>24</v>
      </c>
      <c r="B24" s="14" t="s">
        <v>98</v>
      </c>
      <c r="C24" s="15" t="s">
        <v>99</v>
      </c>
      <c r="D24" s="3" t="s">
        <v>54</v>
      </c>
      <c r="E24" s="17">
        <v>1</v>
      </c>
      <c r="F24" s="18" t="s">
        <v>76</v>
      </c>
      <c r="G24" s="19">
        <v>100</v>
      </c>
      <c r="H24" s="2"/>
      <c r="I24" s="20">
        <v>0.18</v>
      </c>
      <c r="J24" s="2">
        <f t="shared" si="1"/>
        <v>18</v>
      </c>
    </row>
    <row r="25" spans="1:10" x14ac:dyDescent="0.3">
      <c r="A25" s="13">
        <v>25</v>
      </c>
      <c r="B25" s="14" t="s">
        <v>100</v>
      </c>
      <c r="C25" s="15"/>
      <c r="D25" s="3"/>
      <c r="E25" s="17">
        <v>1</v>
      </c>
      <c r="F25" s="18"/>
      <c r="G25" s="19">
        <v>5000</v>
      </c>
      <c r="H25" s="2"/>
      <c r="I25" s="20">
        <v>0.18</v>
      </c>
      <c r="J25" s="2">
        <f t="shared" si="1"/>
        <v>900</v>
      </c>
    </row>
    <row r="26" spans="1:10" x14ac:dyDescent="0.3">
      <c r="A26" s="13">
        <v>26</v>
      </c>
      <c r="B26" s="14" t="s">
        <v>101</v>
      </c>
      <c r="C26" s="15" t="s">
        <v>102</v>
      </c>
      <c r="D26" s="3" t="s">
        <v>54</v>
      </c>
      <c r="E26" s="17">
        <v>100</v>
      </c>
      <c r="F26" s="18" t="s">
        <v>103</v>
      </c>
      <c r="G26" s="19">
        <v>0</v>
      </c>
      <c r="H26" s="2" t="s">
        <v>80</v>
      </c>
      <c r="I26" s="2"/>
      <c r="J26" s="2"/>
    </row>
    <row r="27" spans="1:10" x14ac:dyDescent="0.3">
      <c r="A27" s="2"/>
      <c r="B27" s="32" t="s">
        <v>104</v>
      </c>
      <c r="C27" s="3"/>
      <c r="D27" s="3"/>
      <c r="E27" s="17"/>
      <c r="F27" s="18"/>
      <c r="G27" s="19"/>
      <c r="H27" s="2"/>
      <c r="I27" s="2"/>
      <c r="J27" s="2"/>
    </row>
    <row r="28" spans="1:10" x14ac:dyDescent="0.3">
      <c r="A28" s="13">
        <v>1</v>
      </c>
      <c r="B28" s="14" t="s">
        <v>105</v>
      </c>
      <c r="C28" s="15"/>
      <c r="D28" s="3"/>
      <c r="E28" s="17">
        <v>6000</v>
      </c>
      <c r="F28" s="18" t="s">
        <v>106</v>
      </c>
      <c r="G28" s="19">
        <v>15000</v>
      </c>
      <c r="H28" s="2" t="s">
        <v>107</v>
      </c>
      <c r="I28" s="20">
        <v>0.18</v>
      </c>
      <c r="J28" s="2">
        <f t="shared" ref="J28:J38" si="2">G28*I28</f>
        <v>2700</v>
      </c>
    </row>
    <row r="29" spans="1:10" x14ac:dyDescent="0.3">
      <c r="A29" s="13">
        <v>2</v>
      </c>
      <c r="B29" s="14" t="s">
        <v>108</v>
      </c>
      <c r="C29" s="15"/>
      <c r="D29" s="3"/>
      <c r="E29" s="17">
        <v>6000</v>
      </c>
      <c r="F29" s="18" t="s">
        <v>106</v>
      </c>
      <c r="G29" s="19">
        <v>15000</v>
      </c>
      <c r="H29" s="2" t="s">
        <v>107</v>
      </c>
      <c r="I29" s="20">
        <v>0.18</v>
      </c>
      <c r="J29" s="2">
        <f t="shared" si="2"/>
        <v>2700</v>
      </c>
    </row>
    <row r="30" spans="1:10" x14ac:dyDescent="0.3">
      <c r="A30" s="2"/>
      <c r="B30" s="32" t="s">
        <v>109</v>
      </c>
      <c r="C30" s="3"/>
      <c r="D30" s="3"/>
      <c r="E30" s="17"/>
      <c r="F30" s="18"/>
      <c r="G30" s="33"/>
      <c r="H30" s="2"/>
      <c r="I30" s="2"/>
      <c r="J30" s="2"/>
    </row>
    <row r="31" spans="1:10" x14ac:dyDescent="0.3">
      <c r="A31" s="13">
        <v>1</v>
      </c>
      <c r="B31" s="14" t="s">
        <v>110</v>
      </c>
      <c r="C31" s="15" t="s">
        <v>111</v>
      </c>
      <c r="D31" s="3"/>
      <c r="E31" s="17">
        <v>1</v>
      </c>
      <c r="F31" s="18" t="s">
        <v>112</v>
      </c>
      <c r="G31" s="19">
        <v>1000</v>
      </c>
      <c r="H31" s="2"/>
      <c r="I31" s="20">
        <v>0.18</v>
      </c>
      <c r="J31" s="2">
        <f t="shared" si="2"/>
        <v>180</v>
      </c>
    </row>
    <row r="32" spans="1:10" x14ac:dyDescent="0.3">
      <c r="A32" s="13">
        <v>2</v>
      </c>
      <c r="B32" s="14" t="s">
        <v>113</v>
      </c>
      <c r="C32" s="15" t="s">
        <v>111</v>
      </c>
      <c r="D32" s="32"/>
      <c r="E32" s="17">
        <v>1</v>
      </c>
      <c r="F32" s="18" t="s">
        <v>112</v>
      </c>
      <c r="G32" s="19">
        <v>1000</v>
      </c>
      <c r="H32" s="2"/>
      <c r="I32" s="20">
        <v>0.18</v>
      </c>
      <c r="J32" s="2">
        <f t="shared" si="2"/>
        <v>180</v>
      </c>
    </row>
    <row r="33" spans="1:10" x14ac:dyDescent="0.3">
      <c r="A33" s="13">
        <v>3</v>
      </c>
      <c r="B33" s="14" t="s">
        <v>114</v>
      </c>
      <c r="C33" s="15" t="s">
        <v>111</v>
      </c>
      <c r="D33" s="3"/>
      <c r="E33" s="17">
        <v>1</v>
      </c>
      <c r="F33" s="18" t="s">
        <v>112</v>
      </c>
      <c r="G33" s="19">
        <v>1000</v>
      </c>
      <c r="H33" s="2"/>
      <c r="I33" s="20">
        <v>0.18</v>
      </c>
      <c r="J33" s="2">
        <f t="shared" si="2"/>
        <v>180</v>
      </c>
    </row>
    <row r="34" spans="1:10" x14ac:dyDescent="0.3">
      <c r="A34" s="13">
        <v>4</v>
      </c>
      <c r="B34" s="14" t="s">
        <v>115</v>
      </c>
      <c r="C34" s="15" t="s">
        <v>111</v>
      </c>
      <c r="D34" s="3"/>
      <c r="E34" s="17">
        <v>1</v>
      </c>
      <c r="F34" s="18" t="s">
        <v>112</v>
      </c>
      <c r="G34" s="19">
        <v>1000</v>
      </c>
      <c r="H34" s="2"/>
      <c r="I34" s="20">
        <v>0.18</v>
      </c>
      <c r="J34" s="2">
        <f t="shared" si="2"/>
        <v>180</v>
      </c>
    </row>
    <row r="35" spans="1:10" x14ac:dyDescent="0.3">
      <c r="A35" s="13">
        <v>5</v>
      </c>
      <c r="B35" s="14" t="s">
        <v>116</v>
      </c>
      <c r="C35" s="15" t="s">
        <v>111</v>
      </c>
      <c r="D35" s="3"/>
      <c r="E35" s="17">
        <v>1</v>
      </c>
      <c r="F35" s="18" t="s">
        <v>112</v>
      </c>
      <c r="G35" s="19">
        <v>1000</v>
      </c>
      <c r="H35" s="2"/>
      <c r="I35" s="20">
        <v>0.18</v>
      </c>
      <c r="J35" s="2">
        <f t="shared" si="2"/>
        <v>180</v>
      </c>
    </row>
    <row r="36" spans="1:10" x14ac:dyDescent="0.3">
      <c r="A36" s="13">
        <v>6</v>
      </c>
      <c r="B36" s="14" t="s">
        <v>117</v>
      </c>
      <c r="C36" s="15" t="s">
        <v>111</v>
      </c>
      <c r="D36" s="3"/>
      <c r="E36" s="17">
        <v>1</v>
      </c>
      <c r="F36" s="18" t="s">
        <v>112</v>
      </c>
      <c r="G36" s="19">
        <v>1000</v>
      </c>
      <c r="H36" s="2"/>
      <c r="I36" s="20">
        <v>0.18</v>
      </c>
      <c r="J36" s="2">
        <f t="shared" si="2"/>
        <v>180</v>
      </c>
    </row>
    <row r="37" spans="1:10" x14ac:dyDescent="0.3">
      <c r="A37" s="2"/>
      <c r="B37" s="32" t="s">
        <v>118</v>
      </c>
      <c r="C37" s="3"/>
      <c r="D37" s="3"/>
      <c r="E37" s="17"/>
      <c r="F37" s="18"/>
      <c r="G37" s="19"/>
      <c r="H37" s="2"/>
      <c r="I37" s="2"/>
      <c r="J37" s="2"/>
    </row>
    <row r="38" spans="1:10" x14ac:dyDescent="0.3">
      <c r="A38" s="13">
        <v>1</v>
      </c>
      <c r="B38" s="14" t="s">
        <v>119</v>
      </c>
      <c r="C38" s="15" t="s">
        <v>111</v>
      </c>
      <c r="D38" s="3"/>
      <c r="E38" s="17">
        <v>1</v>
      </c>
      <c r="F38" s="18" t="s">
        <v>112</v>
      </c>
      <c r="G38" s="19">
        <v>30000</v>
      </c>
      <c r="H38" s="2"/>
      <c r="I38" s="20">
        <v>0.18</v>
      </c>
      <c r="J38" s="2">
        <f t="shared" si="2"/>
        <v>5400</v>
      </c>
    </row>
    <row r="39" spans="1:10" x14ac:dyDescent="0.3">
      <c r="A39" s="13">
        <v>2</v>
      </c>
      <c r="B39" s="14" t="s">
        <v>120</v>
      </c>
      <c r="C39" s="15" t="s">
        <v>111</v>
      </c>
      <c r="D39" s="3"/>
      <c r="E39" s="17">
        <v>1</v>
      </c>
      <c r="F39" s="18" t="s">
        <v>112</v>
      </c>
      <c r="G39" s="19">
        <v>0</v>
      </c>
      <c r="H39" s="2"/>
      <c r="I39" s="2"/>
      <c r="J39" s="2"/>
    </row>
    <row r="40" spans="1:10" x14ac:dyDescent="0.3">
      <c r="A40" s="2"/>
      <c r="B40" s="3"/>
      <c r="C40" s="3"/>
      <c r="D40" s="3"/>
      <c r="E40" s="3"/>
      <c r="F40" s="2"/>
      <c r="G40" s="34"/>
      <c r="H40" s="2"/>
      <c r="I40" s="2"/>
      <c r="J40" s="21">
        <f>SUM(J3:J39)</f>
        <v>45500.819999999992</v>
      </c>
    </row>
    <row r="41" spans="1:10" x14ac:dyDescent="0.3">
      <c r="A41" s="2"/>
      <c r="B41" s="3"/>
      <c r="C41" s="3"/>
      <c r="D41" s="3"/>
      <c r="E41" s="3"/>
      <c r="F41" s="35" t="s">
        <v>121</v>
      </c>
      <c r="G41" s="36">
        <f>SUM(G3:G40)</f>
        <v>314349</v>
      </c>
      <c r="H41" s="21"/>
      <c r="I41" s="2"/>
      <c r="J41" s="21"/>
    </row>
    <row r="42" spans="1:10" x14ac:dyDescent="0.3">
      <c r="A42" s="2"/>
      <c r="B42" s="3"/>
      <c r="C42" s="3"/>
      <c r="D42" s="3"/>
      <c r="E42" s="3"/>
      <c r="F42" s="37" t="s">
        <v>122</v>
      </c>
      <c r="G42" s="38">
        <f>J40</f>
        <v>45500.819999999992</v>
      </c>
      <c r="H42" s="2"/>
      <c r="I42" s="2"/>
      <c r="J42" s="2"/>
    </row>
    <row r="43" spans="1:10" x14ac:dyDescent="0.3">
      <c r="A43" s="2"/>
      <c r="B43" s="3"/>
      <c r="C43" s="3"/>
      <c r="D43" s="3"/>
      <c r="E43" s="3"/>
      <c r="F43" s="39" t="s">
        <v>123</v>
      </c>
      <c r="G43" s="38">
        <f>SUM(G41:G42)</f>
        <v>359849.82</v>
      </c>
      <c r="H43" s="2"/>
      <c r="I43" s="2"/>
      <c r="J43" s="2"/>
    </row>
  </sheetData>
  <mergeCells count="1">
    <mergeCell ref="B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C32" sqref="C32"/>
    </sheetView>
  </sheetViews>
  <sheetFormatPr defaultRowHeight="14.4" x14ac:dyDescent="0.3"/>
  <cols>
    <col min="1" max="1" width="8.88671875" style="1"/>
    <col min="2" max="2" width="19.21875" style="1" bestFit="1" customWidth="1"/>
    <col min="3" max="3" width="15.33203125" style="1" bestFit="1" customWidth="1"/>
    <col min="4" max="4" width="131" bestFit="1" customWidth="1"/>
  </cols>
  <sheetData>
    <row r="1" spans="1:4" x14ac:dyDescent="0.3">
      <c r="A1" s="2"/>
      <c r="B1" s="2" t="s">
        <v>1</v>
      </c>
      <c r="C1" s="2" t="s">
        <v>4</v>
      </c>
      <c r="D1" s="3"/>
    </row>
    <row r="2" spans="1:4" x14ac:dyDescent="0.3">
      <c r="A2" s="2">
        <v>1</v>
      </c>
      <c r="B2" s="2" t="s">
        <v>0</v>
      </c>
      <c r="C2" s="2" t="s">
        <v>2</v>
      </c>
      <c r="D2" s="3"/>
    </row>
    <row r="3" spans="1:4" x14ac:dyDescent="0.3">
      <c r="A3" s="2"/>
      <c r="B3" s="2"/>
      <c r="C3" s="2" t="s">
        <v>3</v>
      </c>
      <c r="D3" s="3"/>
    </row>
    <row r="4" spans="1:4" x14ac:dyDescent="0.3">
      <c r="A4" s="2">
        <v>2</v>
      </c>
      <c r="B4" s="2" t="s">
        <v>5</v>
      </c>
      <c r="C4" s="2" t="s">
        <v>6</v>
      </c>
      <c r="D4" s="3"/>
    </row>
    <row r="5" spans="1:4" x14ac:dyDescent="0.3">
      <c r="A5" s="2">
        <v>3</v>
      </c>
      <c r="B5" s="2" t="s">
        <v>7</v>
      </c>
      <c r="C5" s="2" t="s">
        <v>8</v>
      </c>
      <c r="D5" s="3" t="s">
        <v>16</v>
      </c>
    </row>
    <row r="6" spans="1:4" x14ac:dyDescent="0.3">
      <c r="A6" s="2"/>
      <c r="B6" s="2"/>
      <c r="C6" s="2" t="s">
        <v>9</v>
      </c>
      <c r="D6" s="3" t="s">
        <v>16</v>
      </c>
    </row>
    <row r="7" spans="1:4" x14ac:dyDescent="0.3">
      <c r="A7" s="2"/>
      <c r="B7" s="2"/>
      <c r="C7" s="2" t="s">
        <v>10</v>
      </c>
      <c r="D7" s="3" t="s">
        <v>17</v>
      </c>
    </row>
    <row r="8" spans="1:4" x14ac:dyDescent="0.3">
      <c r="A8" s="2"/>
      <c r="B8" s="2"/>
      <c r="C8" s="2" t="s">
        <v>11</v>
      </c>
      <c r="D8" s="3" t="s">
        <v>17</v>
      </c>
    </row>
    <row r="9" spans="1:4" x14ac:dyDescent="0.3">
      <c r="A9" s="2">
        <v>4</v>
      </c>
      <c r="B9" s="2" t="s">
        <v>12</v>
      </c>
      <c r="C9" s="2" t="s">
        <v>13</v>
      </c>
      <c r="D9" s="3"/>
    </row>
    <row r="10" spans="1:4" x14ac:dyDescent="0.3">
      <c r="A10" s="2">
        <v>5</v>
      </c>
      <c r="B10" s="2" t="s">
        <v>14</v>
      </c>
      <c r="C10" s="2"/>
      <c r="D10" s="3"/>
    </row>
    <row r="11" spans="1:4" x14ac:dyDescent="0.3">
      <c r="A11" s="2">
        <v>6</v>
      </c>
      <c r="B11" s="2" t="s">
        <v>15</v>
      </c>
      <c r="C11" s="2"/>
      <c r="D11"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5"/>
  <sheetViews>
    <sheetView tabSelected="1" workbookViewId="0">
      <selection activeCell="C3" sqref="C3"/>
    </sheetView>
  </sheetViews>
  <sheetFormatPr defaultRowHeight="14.4" x14ac:dyDescent="0.3"/>
  <cols>
    <col min="1" max="1" width="8.88671875" style="1"/>
    <col min="2" max="2" width="69.44140625" customWidth="1"/>
    <col min="3" max="3" width="29.44140625" customWidth="1"/>
    <col min="5" max="5" width="9.33203125" bestFit="1" customWidth="1"/>
    <col min="7" max="7" width="12" bestFit="1" customWidth="1"/>
    <col min="8" max="8" width="17.88671875" bestFit="1" customWidth="1"/>
    <col min="10" max="10" width="11.5546875" bestFit="1" customWidth="1"/>
    <col min="11" max="11" width="20.6640625" bestFit="1" customWidth="1"/>
  </cols>
  <sheetData>
    <row r="1" spans="1:2" x14ac:dyDescent="0.3">
      <c r="B1" s="4" t="s">
        <v>18</v>
      </c>
    </row>
    <row r="2" spans="1:2" x14ac:dyDescent="0.3">
      <c r="B2" s="5" t="s">
        <v>19</v>
      </c>
    </row>
    <row r="3" spans="1:2" x14ac:dyDescent="0.3">
      <c r="A3" s="1">
        <v>1</v>
      </c>
      <c r="B3" s="5" t="s">
        <v>20</v>
      </c>
    </row>
    <row r="4" spans="1:2" ht="43.2" x14ac:dyDescent="0.3">
      <c r="B4" s="5" t="s">
        <v>24</v>
      </c>
    </row>
    <row r="5" spans="1:2" x14ac:dyDescent="0.3">
      <c r="B5" s="5" t="s">
        <v>21</v>
      </c>
    </row>
    <row r="6" spans="1:2" ht="57.6" x14ac:dyDescent="0.3">
      <c r="B6" s="5" t="s">
        <v>128</v>
      </c>
    </row>
    <row r="7" spans="1:2" x14ac:dyDescent="0.3">
      <c r="A7" s="1">
        <v>2</v>
      </c>
      <c r="B7" s="5" t="s">
        <v>22</v>
      </c>
    </row>
    <row r="8" spans="1:2" ht="28.8" x14ac:dyDescent="0.3">
      <c r="B8" s="41" t="s">
        <v>125</v>
      </c>
    </row>
    <row r="9" spans="1:2" x14ac:dyDescent="0.3">
      <c r="B9" s="5" t="s">
        <v>21</v>
      </c>
    </row>
    <row r="10" spans="1:2" x14ac:dyDescent="0.3">
      <c r="A10" s="1">
        <v>3</v>
      </c>
      <c r="B10" s="5" t="s">
        <v>23</v>
      </c>
    </row>
    <row r="11" spans="1:2" x14ac:dyDescent="0.3">
      <c r="B11" s="5" t="s">
        <v>127</v>
      </c>
    </row>
    <row r="12" spans="1:2" x14ac:dyDescent="0.3">
      <c r="B12" s="5" t="s">
        <v>21</v>
      </c>
    </row>
    <row r="13" spans="1:2" ht="28.8" x14ac:dyDescent="0.3">
      <c r="B13" s="5" t="s">
        <v>126</v>
      </c>
    </row>
    <row r="14" spans="1:2" x14ac:dyDescent="0.3">
      <c r="A14" s="1">
        <v>4</v>
      </c>
      <c r="B14" s="5" t="s">
        <v>25</v>
      </c>
    </row>
    <row r="15" spans="1:2" x14ac:dyDescent="0.3">
      <c r="B15" s="5" t="s">
        <v>21</v>
      </c>
    </row>
    <row r="16" spans="1:2" x14ac:dyDescent="0.3">
      <c r="A16" s="1">
        <v>5</v>
      </c>
      <c r="B16" s="5" t="s">
        <v>26</v>
      </c>
    </row>
    <row r="17" spans="1:2" x14ac:dyDescent="0.3">
      <c r="B17" s="5" t="s">
        <v>21</v>
      </c>
    </row>
    <row r="18" spans="1:2" x14ac:dyDescent="0.3">
      <c r="A18" s="1">
        <v>6</v>
      </c>
      <c r="B18" s="5" t="s">
        <v>27</v>
      </c>
    </row>
    <row r="19" spans="1:2" x14ac:dyDescent="0.3">
      <c r="B19" s="5" t="s">
        <v>21</v>
      </c>
    </row>
    <row r="21" spans="1:2" x14ac:dyDescent="0.3">
      <c r="B21" s="4" t="s">
        <v>124</v>
      </c>
    </row>
    <row r="22" spans="1:2" ht="43.2" x14ac:dyDescent="0.3">
      <c r="B22" s="5" t="s">
        <v>135</v>
      </c>
    </row>
    <row r="23" spans="1:2" x14ac:dyDescent="0.3">
      <c r="B23" s="4" t="s">
        <v>130</v>
      </c>
    </row>
    <row r="24" spans="1:2" x14ac:dyDescent="0.3">
      <c r="A24" s="1">
        <v>1</v>
      </c>
      <c r="B24" s="4" t="s">
        <v>131</v>
      </c>
    </row>
    <row r="25" spans="1:2" x14ac:dyDescent="0.3">
      <c r="B25" s="4" t="s">
        <v>132</v>
      </c>
    </row>
    <row r="26" spans="1:2" x14ac:dyDescent="0.3">
      <c r="B26" s="4" t="s">
        <v>133</v>
      </c>
    </row>
    <row r="27" spans="1:2" x14ac:dyDescent="0.3">
      <c r="A27" s="1">
        <v>2</v>
      </c>
      <c r="B27" s="4" t="s">
        <v>134</v>
      </c>
    </row>
    <row r="28" spans="1:2" ht="49.8" customHeight="1" x14ac:dyDescent="0.3">
      <c r="B28" s="5" t="s">
        <v>136</v>
      </c>
    </row>
    <row r="29" spans="1:2" x14ac:dyDescent="0.3">
      <c r="B29" s="4" t="s">
        <v>132</v>
      </c>
    </row>
    <row r="30" spans="1:2" x14ac:dyDescent="0.3">
      <c r="B30" s="4" t="s">
        <v>137</v>
      </c>
    </row>
    <row r="31" spans="1:2" x14ac:dyDescent="0.3">
      <c r="B31" s="4" t="s">
        <v>138</v>
      </c>
    </row>
    <row r="32" spans="1:2" x14ac:dyDescent="0.3">
      <c r="B32" s="4" t="s">
        <v>139</v>
      </c>
    </row>
    <row r="33" spans="1:11" x14ac:dyDescent="0.3">
      <c r="A33" s="1">
        <v>3</v>
      </c>
      <c r="B33" s="4" t="s">
        <v>140</v>
      </c>
    </row>
    <row r="34" spans="1:11" x14ac:dyDescent="0.3">
      <c r="B34" s="4" t="s">
        <v>141</v>
      </c>
    </row>
    <row r="35" spans="1:11" x14ac:dyDescent="0.3">
      <c r="B35" s="4" t="s">
        <v>142</v>
      </c>
    </row>
    <row r="36" spans="1:11" x14ac:dyDescent="0.3">
      <c r="B36" s="4" t="s">
        <v>143</v>
      </c>
    </row>
    <row r="37" spans="1:11" x14ac:dyDescent="0.3">
      <c r="A37" s="1">
        <v>4</v>
      </c>
      <c r="B37" s="4" t="s">
        <v>144</v>
      </c>
    </row>
    <row r="38" spans="1:11" x14ac:dyDescent="0.3">
      <c r="B38" s="4" t="s">
        <v>145</v>
      </c>
    </row>
    <row r="39" spans="1:11" x14ac:dyDescent="0.3">
      <c r="B39" s="4" t="s">
        <v>146</v>
      </c>
    </row>
    <row r="40" spans="1:11" x14ac:dyDescent="0.3">
      <c r="B40" s="4"/>
    </row>
    <row r="41" spans="1:11" x14ac:dyDescent="0.3">
      <c r="B41" s="4"/>
    </row>
    <row r="42" spans="1:11" x14ac:dyDescent="0.3">
      <c r="A42" s="7"/>
      <c r="B42" s="43" t="s">
        <v>147</v>
      </c>
      <c r="C42" s="43"/>
      <c r="D42" s="43"/>
      <c r="E42" s="43"/>
      <c r="F42" s="43"/>
      <c r="G42" s="43"/>
      <c r="H42" s="43"/>
      <c r="I42" s="43"/>
      <c r="J42" s="43"/>
      <c r="K42" s="3"/>
    </row>
    <row r="43" spans="1:11" x14ac:dyDescent="0.3">
      <c r="A43" s="7" t="s">
        <v>29</v>
      </c>
      <c r="B43" s="44" t="s">
        <v>30</v>
      </c>
      <c r="C43" s="45" t="s">
        <v>31</v>
      </c>
      <c r="D43" s="46" t="s">
        <v>32</v>
      </c>
      <c r="E43" s="47" t="s">
        <v>33</v>
      </c>
      <c r="F43" s="44" t="s">
        <v>34</v>
      </c>
      <c r="G43" s="48" t="s">
        <v>35</v>
      </c>
      <c r="H43" s="49" t="s">
        <v>36</v>
      </c>
      <c r="I43" s="49" t="s">
        <v>37</v>
      </c>
      <c r="J43" s="49" t="s">
        <v>38</v>
      </c>
      <c r="K43" s="8" t="s">
        <v>148</v>
      </c>
    </row>
    <row r="44" spans="1:11" x14ac:dyDescent="0.3">
      <c r="A44" s="13">
        <v>1</v>
      </c>
      <c r="B44" s="14" t="s">
        <v>39</v>
      </c>
      <c r="C44" s="15" t="s">
        <v>129</v>
      </c>
      <c r="D44" s="16" t="s">
        <v>41</v>
      </c>
      <c r="E44" s="17">
        <v>9</v>
      </c>
      <c r="F44" s="18" t="s">
        <v>42</v>
      </c>
      <c r="G44" s="19">
        <f>550*26*E44</f>
        <v>128700</v>
      </c>
      <c r="H44" s="2">
        <v>26</v>
      </c>
      <c r="I44" s="20">
        <v>0.12</v>
      </c>
      <c r="J44" s="21">
        <f t="shared" ref="J44:J55" si="0">G44*I44</f>
        <v>15444</v>
      </c>
      <c r="K44" s="3"/>
    </row>
    <row r="45" spans="1:11" ht="28.8" x14ac:dyDescent="0.3">
      <c r="A45" s="13">
        <v>2</v>
      </c>
      <c r="B45" s="14" t="s">
        <v>43</v>
      </c>
      <c r="C45" s="22" t="s">
        <v>44</v>
      </c>
      <c r="D45" s="16" t="s">
        <v>45</v>
      </c>
      <c r="E45" s="17">
        <v>1</v>
      </c>
      <c r="F45" s="18" t="s">
        <v>46</v>
      </c>
      <c r="G45" s="19">
        <v>56000</v>
      </c>
      <c r="H45" s="2" t="s">
        <v>47</v>
      </c>
      <c r="I45" s="20">
        <v>0.12</v>
      </c>
      <c r="J45" s="21">
        <f t="shared" si="0"/>
        <v>6720</v>
      </c>
      <c r="K45" s="3"/>
    </row>
    <row r="46" spans="1:11" ht="43.2" x14ac:dyDescent="0.3">
      <c r="A46" s="13">
        <v>3</v>
      </c>
      <c r="B46" s="23" t="s">
        <v>48</v>
      </c>
      <c r="C46" s="24" t="s">
        <v>49</v>
      </c>
      <c r="D46" s="3"/>
      <c r="E46" s="25">
        <v>1</v>
      </c>
      <c r="F46" s="18" t="s">
        <v>50</v>
      </c>
      <c r="G46" s="19">
        <v>40000</v>
      </c>
      <c r="H46" s="2" t="s">
        <v>51</v>
      </c>
      <c r="I46" s="20">
        <v>0.18</v>
      </c>
      <c r="J46" s="21">
        <f t="shared" si="0"/>
        <v>7200</v>
      </c>
      <c r="K46" s="3"/>
    </row>
    <row r="47" spans="1:11" x14ac:dyDescent="0.3">
      <c r="A47" s="13">
        <v>4</v>
      </c>
      <c r="B47" s="14" t="s">
        <v>52</v>
      </c>
      <c r="C47" s="15" t="s">
        <v>53</v>
      </c>
      <c r="D47" s="3" t="s">
        <v>54</v>
      </c>
      <c r="E47" s="17">
        <v>8</v>
      </c>
      <c r="F47" s="18" t="s">
        <v>50</v>
      </c>
      <c r="G47" s="19">
        <f>400</f>
        <v>400</v>
      </c>
      <c r="H47" s="2" t="s">
        <v>55</v>
      </c>
      <c r="I47" s="20">
        <v>0.18</v>
      </c>
      <c r="J47" s="21">
        <f t="shared" si="0"/>
        <v>72</v>
      </c>
      <c r="K47" s="3"/>
    </row>
    <row r="48" spans="1:11" x14ac:dyDescent="0.3">
      <c r="A48" s="13">
        <v>5</v>
      </c>
      <c r="B48" s="23" t="s">
        <v>56</v>
      </c>
      <c r="C48" s="15" t="s">
        <v>57</v>
      </c>
      <c r="D48" s="3" t="s">
        <v>54</v>
      </c>
      <c r="E48" s="17">
        <v>20</v>
      </c>
      <c r="F48" s="18" t="s">
        <v>58</v>
      </c>
      <c r="G48" s="19">
        <f>40*E48</f>
        <v>800</v>
      </c>
      <c r="H48" s="2" t="s">
        <v>59</v>
      </c>
      <c r="I48" s="20">
        <v>0.18</v>
      </c>
      <c r="J48" s="21">
        <f t="shared" si="0"/>
        <v>144</v>
      </c>
      <c r="K48" s="3"/>
    </row>
    <row r="49" spans="1:11" x14ac:dyDescent="0.3">
      <c r="A49" s="13">
        <v>6</v>
      </c>
      <c r="B49" s="23" t="s">
        <v>60</v>
      </c>
      <c r="C49" s="15" t="s">
        <v>61</v>
      </c>
      <c r="D49" s="3" t="s">
        <v>54</v>
      </c>
      <c r="E49" s="17">
        <v>20</v>
      </c>
      <c r="F49" s="18" t="s">
        <v>58</v>
      </c>
      <c r="G49" s="19">
        <v>0</v>
      </c>
      <c r="H49" s="2" t="s">
        <v>62</v>
      </c>
      <c r="I49" s="20">
        <v>0.18</v>
      </c>
      <c r="J49" s="2">
        <f t="shared" si="0"/>
        <v>0</v>
      </c>
      <c r="K49" s="3"/>
    </row>
    <row r="50" spans="1:11" ht="28.8" x14ac:dyDescent="0.3">
      <c r="A50" s="13">
        <v>8</v>
      </c>
      <c r="B50" s="23" t="s">
        <v>63</v>
      </c>
      <c r="C50" s="22" t="s">
        <v>64</v>
      </c>
      <c r="D50" s="3" t="s">
        <v>54</v>
      </c>
      <c r="E50" s="17">
        <v>90</v>
      </c>
      <c r="F50" s="18" t="s">
        <v>58</v>
      </c>
      <c r="G50" s="19">
        <v>0</v>
      </c>
      <c r="H50" s="2" t="s">
        <v>65</v>
      </c>
      <c r="I50" s="20">
        <v>0.18</v>
      </c>
      <c r="J50" s="2">
        <f t="shared" si="0"/>
        <v>0</v>
      </c>
      <c r="K50" s="3"/>
    </row>
    <row r="51" spans="1:11" ht="28.8" x14ac:dyDescent="0.3">
      <c r="A51" s="13">
        <v>10</v>
      </c>
      <c r="B51" s="23" t="s">
        <v>66</v>
      </c>
      <c r="C51" s="22" t="s">
        <v>67</v>
      </c>
      <c r="D51" s="3" t="s">
        <v>54</v>
      </c>
      <c r="E51" s="17">
        <v>1</v>
      </c>
      <c r="F51" s="18" t="s">
        <v>46</v>
      </c>
      <c r="G51" s="19">
        <v>3000</v>
      </c>
      <c r="H51" s="2" t="s">
        <v>68</v>
      </c>
      <c r="I51" s="20">
        <v>0.18</v>
      </c>
      <c r="J51" s="2">
        <f t="shared" si="0"/>
        <v>540</v>
      </c>
      <c r="K51" s="3"/>
    </row>
    <row r="52" spans="1:11" ht="28.8" x14ac:dyDescent="0.3">
      <c r="A52" s="13">
        <v>11</v>
      </c>
      <c r="B52" s="23" t="s">
        <v>69</v>
      </c>
      <c r="C52" s="22" t="s">
        <v>67</v>
      </c>
      <c r="D52" s="3" t="s">
        <v>54</v>
      </c>
      <c r="E52" s="17">
        <v>1</v>
      </c>
      <c r="F52" s="18" t="s">
        <v>46</v>
      </c>
      <c r="G52" s="19">
        <v>3000</v>
      </c>
      <c r="H52" s="2" t="s">
        <v>68</v>
      </c>
      <c r="I52" s="20">
        <v>0.18</v>
      </c>
      <c r="J52" s="2">
        <f t="shared" si="0"/>
        <v>540</v>
      </c>
      <c r="K52" s="3"/>
    </row>
    <row r="53" spans="1:11" ht="86.4" x14ac:dyDescent="0.3">
      <c r="A53" s="13">
        <v>12</v>
      </c>
      <c r="B53" s="26" t="s">
        <v>70</v>
      </c>
      <c r="C53" s="27" t="s">
        <v>71</v>
      </c>
      <c r="D53" s="3" t="s">
        <v>54</v>
      </c>
      <c r="E53" s="28">
        <v>12</v>
      </c>
      <c r="F53" s="18" t="s">
        <v>46</v>
      </c>
      <c r="G53" s="29">
        <f>35*E53</f>
        <v>420</v>
      </c>
      <c r="H53" s="2" t="s">
        <v>72</v>
      </c>
      <c r="I53" s="20">
        <v>0.18</v>
      </c>
      <c r="J53" s="2">
        <f t="shared" si="0"/>
        <v>75.599999999999994</v>
      </c>
      <c r="K53" s="3"/>
    </row>
    <row r="54" spans="1:11" ht="100.8" x14ac:dyDescent="0.3">
      <c r="A54" s="13">
        <v>13</v>
      </c>
      <c r="B54" s="26" t="s">
        <v>70</v>
      </c>
      <c r="C54" s="27" t="s">
        <v>73</v>
      </c>
      <c r="D54" s="3" t="s">
        <v>54</v>
      </c>
      <c r="E54" s="28">
        <v>12</v>
      </c>
      <c r="F54" s="18" t="s">
        <v>46</v>
      </c>
      <c r="G54" s="29">
        <f>35*E54</f>
        <v>420</v>
      </c>
      <c r="H54" s="2" t="s">
        <v>72</v>
      </c>
      <c r="I54" s="20">
        <v>0.18</v>
      </c>
      <c r="J54" s="2">
        <f t="shared" si="0"/>
        <v>75.599999999999994</v>
      </c>
      <c r="K54" s="3"/>
    </row>
    <row r="55" spans="1:11" x14ac:dyDescent="0.3">
      <c r="A55" s="13">
        <v>14</v>
      </c>
      <c r="B55" s="14" t="s">
        <v>74</v>
      </c>
      <c r="C55" s="15" t="s">
        <v>75</v>
      </c>
      <c r="D55" s="3" t="s">
        <v>54</v>
      </c>
      <c r="E55" s="17">
        <v>1</v>
      </c>
      <c r="F55" s="18" t="s">
        <v>76</v>
      </c>
      <c r="G55" s="19">
        <f>150*E55</f>
        <v>150</v>
      </c>
      <c r="H55" s="2" t="s">
        <v>77</v>
      </c>
      <c r="I55" s="20">
        <v>0.18</v>
      </c>
      <c r="J55" s="2">
        <f t="shared" si="0"/>
        <v>27</v>
      </c>
      <c r="K55" s="3"/>
    </row>
    <row r="56" spans="1:11" ht="43.2" x14ac:dyDescent="0.3">
      <c r="A56" s="13">
        <v>15</v>
      </c>
      <c r="B56" s="30" t="s">
        <v>78</v>
      </c>
      <c r="C56" s="31" t="s">
        <v>79</v>
      </c>
      <c r="D56" s="3" t="s">
        <v>54</v>
      </c>
      <c r="E56" s="17">
        <v>2</v>
      </c>
      <c r="F56" s="18" t="s">
        <v>46</v>
      </c>
      <c r="G56" s="19">
        <v>0</v>
      </c>
      <c r="H56" s="2" t="s">
        <v>80</v>
      </c>
      <c r="I56" s="2"/>
      <c r="J56" s="2"/>
      <c r="K56" s="3"/>
    </row>
    <row r="57" spans="1:11" x14ac:dyDescent="0.3">
      <c r="A57" s="13">
        <v>16</v>
      </c>
      <c r="B57" s="14" t="s">
        <v>81</v>
      </c>
      <c r="C57" s="15" t="s">
        <v>82</v>
      </c>
      <c r="D57" s="3" t="s">
        <v>54</v>
      </c>
      <c r="E57" s="17">
        <v>30</v>
      </c>
      <c r="F57" s="18" t="s">
        <v>58</v>
      </c>
      <c r="G57" s="19">
        <v>3759</v>
      </c>
      <c r="H57" s="2" t="s">
        <v>83</v>
      </c>
      <c r="I57" s="20">
        <v>0.18</v>
      </c>
      <c r="J57" s="2">
        <f>G57*I57</f>
        <v>676.62</v>
      </c>
      <c r="K57" s="3"/>
    </row>
    <row r="58" spans="1:11" x14ac:dyDescent="0.3">
      <c r="A58" s="13">
        <v>17</v>
      </c>
      <c r="B58" s="14" t="s">
        <v>84</v>
      </c>
      <c r="C58" s="15" t="s">
        <v>85</v>
      </c>
      <c r="D58" s="3" t="s">
        <v>54</v>
      </c>
      <c r="E58" s="17">
        <v>6</v>
      </c>
      <c r="F58" s="18" t="s">
        <v>46</v>
      </c>
      <c r="G58" s="19">
        <v>200</v>
      </c>
      <c r="H58" s="2"/>
      <c r="I58" s="20">
        <v>0.18</v>
      </c>
      <c r="J58" s="2">
        <f>G58*I58</f>
        <v>36</v>
      </c>
      <c r="K58" s="3"/>
    </row>
    <row r="59" spans="1:11" x14ac:dyDescent="0.3">
      <c r="A59" s="13">
        <v>18</v>
      </c>
      <c r="B59" s="14" t="s">
        <v>84</v>
      </c>
      <c r="C59" s="15" t="s">
        <v>86</v>
      </c>
      <c r="D59" s="3" t="s">
        <v>54</v>
      </c>
      <c r="E59" s="17">
        <v>6</v>
      </c>
      <c r="F59" s="18" t="s">
        <v>46</v>
      </c>
      <c r="G59" s="19">
        <v>200</v>
      </c>
      <c r="H59" s="2"/>
      <c r="I59" s="20">
        <v>0.18</v>
      </c>
      <c r="J59" s="2">
        <f t="shared" ref="J59:J66" si="1">G59*I59</f>
        <v>36</v>
      </c>
      <c r="K59" s="3"/>
    </row>
    <row r="60" spans="1:11" x14ac:dyDescent="0.3">
      <c r="A60" s="13">
        <v>19</v>
      </c>
      <c r="B60" s="14" t="s">
        <v>87</v>
      </c>
      <c r="C60" s="15" t="s">
        <v>82</v>
      </c>
      <c r="D60" s="3" t="s">
        <v>54</v>
      </c>
      <c r="E60" s="17">
        <v>3</v>
      </c>
      <c r="F60" s="18" t="s">
        <v>88</v>
      </c>
      <c r="G60" s="19">
        <v>100</v>
      </c>
      <c r="H60" s="2"/>
      <c r="I60" s="20">
        <v>0.18</v>
      </c>
      <c r="J60" s="2">
        <f t="shared" si="1"/>
        <v>18</v>
      </c>
      <c r="K60" s="3"/>
    </row>
    <row r="61" spans="1:11" x14ac:dyDescent="0.3">
      <c r="A61" s="13">
        <v>20</v>
      </c>
      <c r="B61" s="14" t="s">
        <v>89</v>
      </c>
      <c r="C61" s="15" t="s">
        <v>90</v>
      </c>
      <c r="D61" s="3" t="s">
        <v>54</v>
      </c>
      <c r="E61" s="17">
        <v>4</v>
      </c>
      <c r="F61" s="18" t="s">
        <v>91</v>
      </c>
      <c r="G61" s="19">
        <v>100</v>
      </c>
      <c r="H61" s="2"/>
      <c r="I61" s="20">
        <v>0.18</v>
      </c>
      <c r="J61" s="2">
        <f t="shared" si="1"/>
        <v>18</v>
      </c>
      <c r="K61" s="3"/>
    </row>
    <row r="62" spans="1:11" x14ac:dyDescent="0.3">
      <c r="A62" s="13">
        <v>21</v>
      </c>
      <c r="B62" s="14" t="s">
        <v>92</v>
      </c>
      <c r="C62" s="15" t="s">
        <v>93</v>
      </c>
      <c r="D62" s="3" t="s">
        <v>54</v>
      </c>
      <c r="E62" s="17">
        <v>50</v>
      </c>
      <c r="F62" s="18" t="s">
        <v>91</v>
      </c>
      <c r="G62" s="19">
        <v>2000</v>
      </c>
      <c r="H62" s="2"/>
      <c r="I62" s="20">
        <v>0.18</v>
      </c>
      <c r="J62" s="2">
        <f t="shared" si="1"/>
        <v>360</v>
      </c>
      <c r="K62" s="3"/>
    </row>
    <row r="63" spans="1:11" ht="100.8" x14ac:dyDescent="0.3">
      <c r="A63" s="13">
        <v>22</v>
      </c>
      <c r="B63" s="23" t="s">
        <v>94</v>
      </c>
      <c r="C63" s="22" t="s">
        <v>95</v>
      </c>
      <c r="D63" s="3" t="s">
        <v>54</v>
      </c>
      <c r="E63" s="17">
        <v>3</v>
      </c>
      <c r="F63" s="18" t="s">
        <v>50</v>
      </c>
      <c r="G63" s="19">
        <v>2500</v>
      </c>
      <c r="H63" s="2"/>
      <c r="I63" s="20">
        <v>0.18</v>
      </c>
      <c r="J63" s="2">
        <f t="shared" si="1"/>
        <v>450</v>
      </c>
      <c r="K63" s="3"/>
    </row>
    <row r="64" spans="1:11" x14ac:dyDescent="0.3">
      <c r="A64" s="13">
        <v>23</v>
      </c>
      <c r="B64" s="14" t="s">
        <v>96</v>
      </c>
      <c r="C64" s="15"/>
      <c r="D64" s="3" t="s">
        <v>54</v>
      </c>
      <c r="E64" s="17">
        <v>1</v>
      </c>
      <c r="F64" s="18" t="s">
        <v>97</v>
      </c>
      <c r="G64" s="19">
        <v>1500</v>
      </c>
      <c r="H64" s="2"/>
      <c r="I64" s="20">
        <v>0.18</v>
      </c>
      <c r="J64" s="2">
        <f t="shared" si="1"/>
        <v>270</v>
      </c>
      <c r="K64" s="3"/>
    </row>
    <row r="65" spans="1:11" x14ac:dyDescent="0.3">
      <c r="A65" s="13">
        <v>24</v>
      </c>
      <c r="B65" s="14" t="s">
        <v>98</v>
      </c>
      <c r="C65" s="15" t="s">
        <v>99</v>
      </c>
      <c r="D65" s="3" t="s">
        <v>54</v>
      </c>
      <c r="E65" s="17">
        <v>1</v>
      </c>
      <c r="F65" s="18" t="s">
        <v>76</v>
      </c>
      <c r="G65" s="19">
        <v>100</v>
      </c>
      <c r="H65" s="2"/>
      <c r="I65" s="20">
        <v>0.18</v>
      </c>
      <c r="J65" s="2">
        <f t="shared" si="1"/>
        <v>18</v>
      </c>
      <c r="K65" s="3"/>
    </row>
    <row r="66" spans="1:11" x14ac:dyDescent="0.3">
      <c r="A66" s="13">
        <v>25</v>
      </c>
      <c r="B66" s="14" t="s">
        <v>100</v>
      </c>
      <c r="C66" s="15"/>
      <c r="D66" s="3"/>
      <c r="E66" s="17">
        <v>1</v>
      </c>
      <c r="F66" s="18"/>
      <c r="G66" s="19">
        <v>5000</v>
      </c>
      <c r="H66" s="2"/>
      <c r="I66" s="20">
        <v>0.18</v>
      </c>
      <c r="J66" s="2">
        <f t="shared" si="1"/>
        <v>900</v>
      </c>
      <c r="K66" s="3"/>
    </row>
    <row r="67" spans="1:11" x14ac:dyDescent="0.3">
      <c r="A67" s="13">
        <v>26</v>
      </c>
      <c r="B67" s="14" t="s">
        <v>101</v>
      </c>
      <c r="C67" s="15" t="s">
        <v>102</v>
      </c>
      <c r="D67" s="3" t="s">
        <v>54</v>
      </c>
      <c r="E67" s="17">
        <v>100</v>
      </c>
      <c r="F67" s="18" t="s">
        <v>103</v>
      </c>
      <c r="G67" s="19">
        <v>0</v>
      </c>
      <c r="H67" s="2" t="s">
        <v>80</v>
      </c>
      <c r="I67" s="2"/>
      <c r="J67" s="2"/>
      <c r="K67" s="3"/>
    </row>
    <row r="68" spans="1:11" x14ac:dyDescent="0.3">
      <c r="A68" s="2"/>
      <c r="B68" s="32" t="s">
        <v>104</v>
      </c>
      <c r="C68" s="3"/>
      <c r="D68" s="3"/>
      <c r="E68" s="17"/>
      <c r="F68" s="18"/>
      <c r="G68" s="19"/>
      <c r="H68" s="2"/>
      <c r="I68" s="2"/>
      <c r="J68" s="2"/>
      <c r="K68" s="3"/>
    </row>
    <row r="69" spans="1:11" x14ac:dyDescent="0.3">
      <c r="A69" s="13">
        <v>1</v>
      </c>
      <c r="B69" s="14" t="s">
        <v>105</v>
      </c>
      <c r="C69" s="15"/>
      <c r="D69" s="3"/>
      <c r="E69" s="17">
        <v>6000</v>
      </c>
      <c r="F69" s="18" t="s">
        <v>106</v>
      </c>
      <c r="G69" s="19">
        <v>15000</v>
      </c>
      <c r="H69" s="2" t="s">
        <v>107</v>
      </c>
      <c r="I69" s="20">
        <v>0.18</v>
      </c>
      <c r="J69" s="2">
        <f t="shared" ref="J69:J79" si="2">G69*I69</f>
        <v>2700</v>
      </c>
      <c r="K69" s="3"/>
    </row>
    <row r="70" spans="1:11" x14ac:dyDescent="0.3">
      <c r="A70" s="13">
        <v>2</v>
      </c>
      <c r="B70" s="14" t="s">
        <v>108</v>
      </c>
      <c r="C70" s="15"/>
      <c r="D70" s="3"/>
      <c r="E70" s="17">
        <v>6000</v>
      </c>
      <c r="F70" s="18" t="s">
        <v>106</v>
      </c>
      <c r="G70" s="19">
        <v>15000</v>
      </c>
      <c r="H70" s="2" t="s">
        <v>107</v>
      </c>
      <c r="I70" s="20">
        <v>0.18</v>
      </c>
      <c r="J70" s="2">
        <f t="shared" si="2"/>
        <v>2700</v>
      </c>
      <c r="K70" s="3"/>
    </row>
    <row r="71" spans="1:11" x14ac:dyDescent="0.3">
      <c r="A71" s="2"/>
      <c r="B71" s="32" t="s">
        <v>109</v>
      </c>
      <c r="C71" s="3"/>
      <c r="D71" s="3"/>
      <c r="E71" s="17"/>
      <c r="F71" s="18"/>
      <c r="G71" s="33"/>
      <c r="H71" s="2"/>
      <c r="I71" s="2"/>
      <c r="J71" s="2"/>
      <c r="K71" s="3"/>
    </row>
    <row r="72" spans="1:11" x14ac:dyDescent="0.3">
      <c r="A72" s="13">
        <v>1</v>
      </c>
      <c r="B72" s="14" t="s">
        <v>110</v>
      </c>
      <c r="C72" s="15" t="s">
        <v>111</v>
      </c>
      <c r="D72" s="3"/>
      <c r="E72" s="17">
        <v>1</v>
      </c>
      <c r="F72" s="18" t="s">
        <v>112</v>
      </c>
      <c r="G72" s="19">
        <v>1000</v>
      </c>
      <c r="H72" s="2"/>
      <c r="I72" s="20">
        <v>0.18</v>
      </c>
      <c r="J72" s="2">
        <f t="shared" si="2"/>
        <v>180</v>
      </c>
      <c r="K72" s="3"/>
    </row>
    <row r="73" spans="1:11" x14ac:dyDescent="0.3">
      <c r="A73" s="13">
        <v>2</v>
      </c>
      <c r="B73" s="14" t="s">
        <v>113</v>
      </c>
      <c r="C73" s="15" t="s">
        <v>111</v>
      </c>
      <c r="D73" s="32"/>
      <c r="E73" s="17">
        <v>1</v>
      </c>
      <c r="F73" s="18" t="s">
        <v>112</v>
      </c>
      <c r="G73" s="19">
        <v>1000</v>
      </c>
      <c r="H73" s="2"/>
      <c r="I73" s="20">
        <v>0.18</v>
      </c>
      <c r="J73" s="2">
        <f t="shared" si="2"/>
        <v>180</v>
      </c>
      <c r="K73" s="3"/>
    </row>
    <row r="74" spans="1:11" x14ac:dyDescent="0.3">
      <c r="A74" s="13">
        <v>3</v>
      </c>
      <c r="B74" s="14" t="s">
        <v>114</v>
      </c>
      <c r="C74" s="15" t="s">
        <v>111</v>
      </c>
      <c r="D74" s="3"/>
      <c r="E74" s="17">
        <v>1</v>
      </c>
      <c r="F74" s="18" t="s">
        <v>112</v>
      </c>
      <c r="G74" s="19">
        <v>1000</v>
      </c>
      <c r="H74" s="2"/>
      <c r="I74" s="20">
        <v>0.18</v>
      </c>
      <c r="J74" s="2">
        <f t="shared" si="2"/>
        <v>180</v>
      </c>
      <c r="K74" s="3"/>
    </row>
    <row r="75" spans="1:11" x14ac:dyDescent="0.3">
      <c r="A75" s="13">
        <v>4</v>
      </c>
      <c r="B75" s="14" t="s">
        <v>115</v>
      </c>
      <c r="C75" s="15" t="s">
        <v>111</v>
      </c>
      <c r="D75" s="3"/>
      <c r="E75" s="17">
        <v>1</v>
      </c>
      <c r="F75" s="18" t="s">
        <v>112</v>
      </c>
      <c r="G75" s="19">
        <v>1000</v>
      </c>
      <c r="H75" s="2"/>
      <c r="I75" s="20">
        <v>0.18</v>
      </c>
      <c r="J75" s="2">
        <f t="shared" si="2"/>
        <v>180</v>
      </c>
      <c r="K75" s="3"/>
    </row>
    <row r="76" spans="1:11" x14ac:dyDescent="0.3">
      <c r="A76" s="13">
        <v>5</v>
      </c>
      <c r="B76" s="14" t="s">
        <v>116</v>
      </c>
      <c r="C76" s="15" t="s">
        <v>111</v>
      </c>
      <c r="D76" s="3"/>
      <c r="E76" s="17">
        <v>1</v>
      </c>
      <c r="F76" s="18" t="s">
        <v>112</v>
      </c>
      <c r="G76" s="19">
        <v>1000</v>
      </c>
      <c r="H76" s="2"/>
      <c r="I76" s="20">
        <v>0.18</v>
      </c>
      <c r="J76" s="2">
        <f t="shared" si="2"/>
        <v>180</v>
      </c>
      <c r="K76" s="3"/>
    </row>
    <row r="77" spans="1:11" x14ac:dyDescent="0.3">
      <c r="A77" s="13">
        <v>6</v>
      </c>
      <c r="B77" s="14" t="s">
        <v>117</v>
      </c>
      <c r="C77" s="15" t="s">
        <v>111</v>
      </c>
      <c r="D77" s="3"/>
      <c r="E77" s="17">
        <v>1</v>
      </c>
      <c r="F77" s="18" t="s">
        <v>112</v>
      </c>
      <c r="G77" s="19">
        <v>1000</v>
      </c>
      <c r="H77" s="2"/>
      <c r="I77" s="20">
        <v>0.18</v>
      </c>
      <c r="J77" s="2">
        <f t="shared" si="2"/>
        <v>180</v>
      </c>
      <c r="K77" s="3"/>
    </row>
    <row r="78" spans="1:11" x14ac:dyDescent="0.3">
      <c r="A78" s="2"/>
      <c r="B78" s="32" t="s">
        <v>118</v>
      </c>
      <c r="C78" s="3"/>
      <c r="D78" s="3"/>
      <c r="E78" s="17"/>
      <c r="F78" s="18"/>
      <c r="G78" s="19"/>
      <c r="H78" s="2"/>
      <c r="I78" s="2"/>
      <c r="J78" s="2"/>
      <c r="K78" s="3"/>
    </row>
    <row r="79" spans="1:11" x14ac:dyDescent="0.3">
      <c r="A79" s="13">
        <v>1</v>
      </c>
      <c r="B79" s="14" t="s">
        <v>119</v>
      </c>
      <c r="C79" s="15" t="s">
        <v>111</v>
      </c>
      <c r="D79" s="3"/>
      <c r="E79" s="17">
        <v>1</v>
      </c>
      <c r="F79" s="18" t="s">
        <v>112</v>
      </c>
      <c r="G79" s="19">
        <v>30000</v>
      </c>
      <c r="H79" s="2"/>
      <c r="I79" s="20">
        <v>0.18</v>
      </c>
      <c r="J79" s="2">
        <f t="shared" si="2"/>
        <v>5400</v>
      </c>
      <c r="K79" s="3"/>
    </row>
    <row r="80" spans="1:11" x14ac:dyDescent="0.3">
      <c r="A80" s="13">
        <v>2</v>
      </c>
      <c r="B80" s="14" t="s">
        <v>120</v>
      </c>
      <c r="C80" s="15" t="s">
        <v>111</v>
      </c>
      <c r="D80" s="3"/>
      <c r="E80" s="17">
        <v>1</v>
      </c>
      <c r="F80" s="18" t="s">
        <v>112</v>
      </c>
      <c r="G80" s="19">
        <v>0</v>
      </c>
      <c r="H80" s="2"/>
      <c r="I80" s="2"/>
      <c r="J80" s="2"/>
      <c r="K80" s="3"/>
    </row>
    <row r="81" spans="1:11" x14ac:dyDescent="0.3">
      <c r="A81" s="2"/>
      <c r="B81" s="3"/>
      <c r="C81" s="3"/>
      <c r="D81" s="3"/>
      <c r="E81" s="3"/>
      <c r="F81" s="2"/>
      <c r="G81" s="34"/>
      <c r="H81" s="2"/>
      <c r="I81" s="2"/>
      <c r="J81" s="21">
        <f>SUM(J44:J80)</f>
        <v>45500.819999999992</v>
      </c>
      <c r="K81" s="3"/>
    </row>
    <row r="82" spans="1:11" x14ac:dyDescent="0.3">
      <c r="A82" s="2"/>
      <c r="B82" s="3"/>
      <c r="C82" s="3"/>
      <c r="D82" s="3"/>
      <c r="E82" s="3"/>
      <c r="F82" s="35" t="s">
        <v>121</v>
      </c>
      <c r="G82" s="36">
        <f>SUM(G44:G81)</f>
        <v>314349</v>
      </c>
      <c r="H82" s="21"/>
      <c r="I82" s="2"/>
      <c r="J82" s="21"/>
      <c r="K82" s="3"/>
    </row>
    <row r="83" spans="1:11" x14ac:dyDescent="0.3">
      <c r="A83" s="2"/>
      <c r="B83" s="3"/>
      <c r="C83" s="3"/>
      <c r="D83" s="3"/>
      <c r="E83" s="3"/>
      <c r="F83" s="37" t="s">
        <v>122</v>
      </c>
      <c r="G83" s="38">
        <f>J81</f>
        <v>45500.819999999992</v>
      </c>
      <c r="H83" s="2"/>
      <c r="I83" s="2"/>
      <c r="J83" s="2"/>
      <c r="K83" s="3"/>
    </row>
    <row r="84" spans="1:11" ht="43.2" x14ac:dyDescent="0.3">
      <c r="A84" s="2"/>
      <c r="B84" s="3"/>
      <c r="C84" s="3"/>
      <c r="D84" s="3"/>
      <c r="E84" s="3"/>
      <c r="F84" s="39" t="s">
        <v>123</v>
      </c>
      <c r="G84" s="38">
        <f>SUM(G82:G83)</f>
        <v>359849.82</v>
      </c>
      <c r="H84" s="2"/>
      <c r="I84" s="2"/>
      <c r="J84" s="2"/>
      <c r="K84" s="3"/>
    </row>
    <row r="85" spans="1:11" x14ac:dyDescent="0.3">
      <c r="B85" s="5"/>
    </row>
  </sheetData>
  <mergeCells count="1">
    <mergeCell ref="B42:J4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2"/>
  <sheetViews>
    <sheetView workbookViewId="0">
      <selection activeCell="C15" sqref="C15"/>
    </sheetView>
  </sheetViews>
  <sheetFormatPr defaultRowHeight="13.2" x14ac:dyDescent="0.3"/>
  <cols>
    <col min="1" max="1" width="8.5546875" style="52" customWidth="1"/>
    <col min="2" max="2" width="29.109375" style="52" customWidth="1"/>
    <col min="3" max="3" width="11.5546875" style="148" customWidth="1"/>
    <col min="4" max="4" width="6.88671875" style="52" customWidth="1"/>
    <col min="5" max="5" width="9.33203125" style="52" customWidth="1"/>
    <col min="6" max="9" width="8" style="52" customWidth="1"/>
    <col min="10" max="10" width="6.88671875" style="52" customWidth="1"/>
    <col min="11" max="11" width="8" style="52" customWidth="1"/>
    <col min="12" max="12" width="6.88671875" style="52" customWidth="1"/>
    <col min="13" max="13" width="8" style="52" customWidth="1"/>
    <col min="14" max="14" width="6.88671875" style="52" customWidth="1"/>
    <col min="15" max="15" width="8" style="52" customWidth="1"/>
    <col min="16" max="16" width="6.88671875" style="52" customWidth="1"/>
    <col min="17" max="17" width="8" style="52" customWidth="1"/>
    <col min="18" max="18" width="6.88671875" style="52" customWidth="1"/>
    <col min="19" max="19" width="8" style="52" customWidth="1"/>
    <col min="20" max="16384" width="8.88671875" style="52"/>
  </cols>
  <sheetData>
    <row r="1" spans="1:28" x14ac:dyDescent="0.3">
      <c r="A1" s="50"/>
      <c r="B1" s="51"/>
      <c r="C1" s="51"/>
      <c r="D1" s="51"/>
      <c r="E1" s="51"/>
      <c r="F1" s="51"/>
      <c r="G1" s="51"/>
      <c r="H1" s="51"/>
      <c r="I1" s="51"/>
      <c r="J1" s="51"/>
      <c r="K1" s="51"/>
      <c r="L1" s="51"/>
      <c r="M1" s="51"/>
      <c r="N1" s="51"/>
      <c r="O1" s="51"/>
      <c r="P1" s="51"/>
      <c r="Q1" s="51"/>
      <c r="R1" s="51"/>
      <c r="S1" s="51"/>
      <c r="T1" s="51"/>
      <c r="U1" s="51"/>
      <c r="V1" s="51"/>
      <c r="W1" s="51"/>
      <c r="X1" s="51"/>
      <c r="Y1" s="51"/>
      <c r="Z1" s="51"/>
      <c r="AA1" s="51"/>
      <c r="AB1" s="51"/>
    </row>
    <row r="2" spans="1:28" ht="97.5" customHeight="1" x14ac:dyDescent="0.3">
      <c r="A2" s="53"/>
      <c r="B2" s="54" t="s">
        <v>149</v>
      </c>
      <c r="C2" s="55"/>
      <c r="D2" s="55"/>
      <c r="E2" s="55"/>
      <c r="F2" s="55"/>
      <c r="G2" s="55"/>
      <c r="H2" s="55"/>
      <c r="I2" s="55"/>
      <c r="J2" s="55"/>
      <c r="K2" s="55"/>
      <c r="L2" s="55"/>
      <c r="M2" s="55"/>
      <c r="N2" s="55"/>
      <c r="O2" s="55"/>
      <c r="P2" s="55"/>
      <c r="Q2" s="55"/>
      <c r="R2" s="55"/>
      <c r="S2" s="55"/>
      <c r="T2" s="55"/>
      <c r="U2" s="55"/>
      <c r="V2" s="55"/>
      <c r="W2" s="55"/>
      <c r="X2" s="55"/>
      <c r="Y2" s="55"/>
      <c r="Z2" s="55"/>
      <c r="AA2" s="55"/>
      <c r="AB2" s="55"/>
    </row>
    <row r="3" spans="1:28" ht="10.050000000000001" customHeight="1" x14ac:dyDescent="0.25">
      <c r="A3" s="56"/>
      <c r="B3" s="57"/>
      <c r="C3" s="58"/>
      <c r="D3" s="58"/>
      <c r="E3" s="58"/>
      <c r="F3" s="58"/>
      <c r="G3" s="58"/>
      <c r="H3" s="58"/>
      <c r="I3" s="58"/>
      <c r="J3" s="58"/>
      <c r="K3" s="58"/>
      <c r="L3" s="58"/>
      <c r="M3" s="58"/>
      <c r="N3" s="58"/>
      <c r="O3" s="58"/>
      <c r="P3" s="58"/>
      <c r="Q3" s="58"/>
      <c r="R3" s="58"/>
      <c r="S3" s="58"/>
      <c r="T3" s="58"/>
      <c r="U3" s="58"/>
      <c r="V3" s="58"/>
      <c r="W3" s="58"/>
      <c r="X3" s="58"/>
      <c r="Y3" s="58"/>
      <c r="Z3" s="58"/>
      <c r="AA3" s="58"/>
      <c r="AB3" s="59"/>
    </row>
    <row r="4" spans="1:28" ht="16.5" customHeight="1" x14ac:dyDescent="0.25">
      <c r="A4" s="56"/>
      <c r="B4" s="60" t="s">
        <v>150</v>
      </c>
      <c r="C4" s="61"/>
      <c r="D4" s="61"/>
      <c r="E4" s="61"/>
      <c r="F4" s="61"/>
      <c r="G4" s="61"/>
      <c r="H4" s="61"/>
      <c r="I4" s="61"/>
      <c r="J4" s="61"/>
      <c r="K4" s="61"/>
      <c r="L4" s="61"/>
      <c r="M4" s="61"/>
      <c r="N4" s="61"/>
      <c r="O4" s="61"/>
      <c r="P4" s="61"/>
      <c r="Q4" s="61"/>
      <c r="R4" s="61"/>
      <c r="S4" s="61"/>
      <c r="T4" s="61"/>
      <c r="U4" s="61"/>
      <c r="V4" s="61"/>
      <c r="W4" s="61"/>
      <c r="X4" s="61"/>
      <c r="Y4" s="61"/>
      <c r="Z4" s="61"/>
      <c r="AA4" s="61"/>
      <c r="AB4" s="62"/>
    </row>
    <row r="5" spans="1:28" ht="10.050000000000001" customHeight="1" x14ac:dyDescent="0.25">
      <c r="A5" s="56"/>
      <c r="B5" s="63"/>
      <c r="C5" s="64"/>
      <c r="D5" s="64"/>
      <c r="E5" s="64"/>
      <c r="F5" s="64"/>
      <c r="G5" s="64"/>
      <c r="H5" s="64"/>
      <c r="I5" s="64"/>
      <c r="J5" s="64"/>
      <c r="K5" s="64"/>
      <c r="L5" s="64"/>
      <c r="M5" s="64"/>
      <c r="N5" s="64"/>
      <c r="O5" s="64"/>
      <c r="P5" s="64"/>
      <c r="Q5" s="64"/>
      <c r="R5" s="65"/>
      <c r="S5" s="66"/>
      <c r="T5" s="66"/>
      <c r="U5" s="66"/>
      <c r="V5" s="66"/>
      <c r="W5" s="66"/>
      <c r="X5" s="66"/>
      <c r="Y5" s="66"/>
      <c r="Z5" s="66"/>
      <c r="AA5" s="66"/>
      <c r="AB5" s="66"/>
    </row>
    <row r="6" spans="1:28" ht="12.75" customHeight="1" x14ac:dyDescent="0.25">
      <c r="A6" s="56"/>
      <c r="B6" s="67" t="s">
        <v>151</v>
      </c>
      <c r="C6" s="68"/>
      <c r="D6" s="69"/>
      <c r="E6" s="70"/>
      <c r="F6" s="71"/>
      <c r="G6" s="72" t="s">
        <v>152</v>
      </c>
      <c r="H6" s="73"/>
      <c r="I6" s="74"/>
      <c r="J6" s="75"/>
      <c r="K6" s="76"/>
      <c r="L6" s="77"/>
      <c r="M6" s="77"/>
      <c r="N6" s="78"/>
      <c r="O6" s="72" t="s">
        <v>153</v>
      </c>
      <c r="P6" s="73"/>
      <c r="Q6" s="73"/>
      <c r="R6" s="79"/>
      <c r="S6" s="66"/>
      <c r="T6" s="66"/>
      <c r="U6" s="66"/>
      <c r="V6" s="66"/>
      <c r="W6" s="66"/>
      <c r="X6" s="66"/>
      <c r="Y6" s="66"/>
      <c r="Z6" s="66"/>
      <c r="AA6" s="66"/>
      <c r="AB6" s="66"/>
    </row>
    <row r="7" spans="1:28" ht="9.75" customHeight="1" x14ac:dyDescent="0.25">
      <c r="A7" s="56"/>
      <c r="B7" s="80" t="s">
        <v>154</v>
      </c>
      <c r="C7" s="81">
        <v>3</v>
      </c>
      <c r="D7" s="82" t="s">
        <v>155</v>
      </c>
      <c r="E7" s="66"/>
      <c r="F7" s="83" t="s">
        <v>156</v>
      </c>
      <c r="G7" s="83"/>
      <c r="H7" s="83"/>
      <c r="I7" s="83"/>
      <c r="J7" s="83"/>
      <c r="K7" s="83"/>
      <c r="L7" s="79"/>
      <c r="M7" s="79"/>
      <c r="N7" s="84" t="s">
        <v>157</v>
      </c>
      <c r="O7" s="84"/>
      <c r="P7" s="85"/>
      <c r="Q7" s="85"/>
      <c r="R7" s="79"/>
      <c r="S7" s="66"/>
      <c r="T7" s="66"/>
      <c r="U7" s="66"/>
      <c r="V7" s="66"/>
      <c r="W7" s="66"/>
      <c r="X7" s="66"/>
      <c r="Y7" s="66"/>
      <c r="Z7" s="66"/>
      <c r="AA7" s="66"/>
      <c r="AB7" s="66"/>
    </row>
    <row r="8" spans="1:28" ht="10.050000000000001" customHeight="1" x14ac:dyDescent="0.25">
      <c r="A8" s="56"/>
      <c r="B8" s="86" t="s">
        <v>158</v>
      </c>
      <c r="C8" s="81">
        <v>225000</v>
      </c>
      <c r="D8" s="87" t="s">
        <v>159</v>
      </c>
      <c r="E8" s="66"/>
      <c r="F8" s="88" t="s">
        <v>160</v>
      </c>
      <c r="G8" s="80" t="s">
        <v>161</v>
      </c>
      <c r="H8" s="80" t="s">
        <v>162</v>
      </c>
      <c r="I8" s="80" t="s">
        <v>163</v>
      </c>
      <c r="J8" s="80" t="s">
        <v>164</v>
      </c>
      <c r="K8" s="82" t="s">
        <v>165</v>
      </c>
      <c r="L8" s="79"/>
      <c r="M8" s="79"/>
      <c r="N8" s="88" t="s">
        <v>160</v>
      </c>
      <c r="O8" s="82" t="s">
        <v>166</v>
      </c>
      <c r="P8" s="79"/>
      <c r="Q8" s="89"/>
      <c r="R8" s="79"/>
      <c r="S8" s="90"/>
      <c r="T8" s="90"/>
      <c r="U8" s="90"/>
      <c r="V8" s="90"/>
      <c r="W8" s="90"/>
      <c r="X8" s="90"/>
      <c r="Y8" s="90"/>
      <c r="Z8" s="90"/>
      <c r="AA8" s="90"/>
      <c r="AB8" s="90"/>
    </row>
    <row r="9" spans="1:28" ht="10.050000000000001" customHeight="1" x14ac:dyDescent="0.25">
      <c r="A9" s="56"/>
      <c r="B9" s="80" t="s">
        <v>167</v>
      </c>
      <c r="C9" s="91">
        <v>9.31</v>
      </c>
      <c r="D9" s="82" t="s">
        <v>168</v>
      </c>
      <c r="E9" s="66"/>
      <c r="F9" s="92" t="s">
        <v>169</v>
      </c>
      <c r="G9" s="93">
        <v>0.6</v>
      </c>
      <c r="H9" s="93">
        <v>0.4</v>
      </c>
      <c r="I9" s="94">
        <v>0</v>
      </c>
      <c r="J9" s="94">
        <v>0</v>
      </c>
      <c r="K9" s="95">
        <v>0</v>
      </c>
      <c r="L9" s="79"/>
      <c r="M9" s="79"/>
      <c r="N9" s="92" t="s">
        <v>169</v>
      </c>
      <c r="O9" s="96">
        <v>8.7475439999999995</v>
      </c>
      <c r="P9" s="79"/>
      <c r="Q9" s="89"/>
      <c r="R9" s="79"/>
      <c r="S9" s="66"/>
      <c r="T9" s="66"/>
      <c r="U9" s="66"/>
      <c r="V9" s="66"/>
      <c r="W9" s="66"/>
      <c r="X9" s="66"/>
      <c r="Y9" s="66"/>
      <c r="Z9" s="66"/>
      <c r="AA9" s="66"/>
      <c r="AB9" s="66"/>
    </row>
    <row r="10" spans="1:28" ht="10.050000000000001" customHeight="1" x14ac:dyDescent="0.25">
      <c r="A10" s="56"/>
      <c r="B10" s="86" t="s">
        <v>170</v>
      </c>
      <c r="C10" s="81">
        <v>7213554</v>
      </c>
      <c r="D10" s="87" t="s">
        <v>171</v>
      </c>
      <c r="E10" s="97"/>
      <c r="F10" s="97"/>
      <c r="G10" s="97"/>
      <c r="H10" s="97"/>
      <c r="I10" s="97"/>
      <c r="J10" s="97"/>
      <c r="K10" s="97"/>
      <c r="L10" s="97"/>
      <c r="M10" s="97"/>
      <c r="N10" s="97"/>
      <c r="O10" s="97"/>
      <c r="P10" s="97"/>
      <c r="Q10" s="97"/>
      <c r="R10" s="97"/>
      <c r="S10" s="66"/>
      <c r="T10" s="66"/>
      <c r="U10" s="66"/>
      <c r="V10" s="66"/>
      <c r="W10" s="66"/>
      <c r="X10" s="66"/>
      <c r="Y10" s="66"/>
      <c r="Z10" s="66"/>
      <c r="AA10" s="66"/>
      <c r="AB10" s="66"/>
    </row>
    <row r="11" spans="1:28" x14ac:dyDescent="0.25">
      <c r="A11" s="56"/>
      <c r="B11" s="80" t="s">
        <v>172</v>
      </c>
      <c r="C11" s="98">
        <f>C7*4*30</f>
        <v>360</v>
      </c>
      <c r="D11" s="82" t="s">
        <v>173</v>
      </c>
      <c r="E11" s="66"/>
      <c r="F11" s="66"/>
      <c r="G11" s="66"/>
      <c r="H11" s="66"/>
      <c r="I11" s="66"/>
      <c r="J11" s="66"/>
      <c r="K11" s="66"/>
      <c r="L11" s="66"/>
      <c r="M11" s="66"/>
      <c r="N11" s="66"/>
      <c r="O11" s="66"/>
      <c r="P11" s="66"/>
      <c r="Q11" s="66"/>
      <c r="R11" s="66"/>
      <c r="S11" s="66"/>
      <c r="T11" s="66"/>
      <c r="U11" s="66"/>
      <c r="V11" s="66"/>
      <c r="W11" s="66"/>
      <c r="X11" s="66"/>
      <c r="Y11" s="66"/>
      <c r="Z11" s="66"/>
      <c r="AA11" s="66"/>
      <c r="AB11" s="66"/>
    </row>
    <row r="12" spans="1:28" ht="10.050000000000001" customHeight="1" x14ac:dyDescent="0.25">
      <c r="A12" s="56"/>
      <c r="B12" s="80" t="s">
        <v>174</v>
      </c>
      <c r="C12" s="98">
        <f>C11*12</f>
        <v>4320</v>
      </c>
      <c r="D12" s="82" t="s">
        <v>175</v>
      </c>
      <c r="E12" s="66"/>
      <c r="F12" s="66"/>
      <c r="G12" s="66"/>
      <c r="H12" s="66"/>
      <c r="I12" s="66"/>
      <c r="J12" s="66"/>
      <c r="K12" s="66"/>
      <c r="L12" s="66"/>
      <c r="M12" s="66"/>
      <c r="N12" s="66"/>
      <c r="O12" s="66"/>
      <c r="P12" s="66"/>
      <c r="Q12" s="66"/>
      <c r="R12" s="66"/>
      <c r="S12" s="66"/>
      <c r="T12" s="66"/>
      <c r="U12" s="66"/>
      <c r="V12" s="66"/>
      <c r="W12" s="66"/>
      <c r="X12" s="66"/>
      <c r="Y12" s="66"/>
      <c r="Z12" s="66"/>
      <c r="AA12" s="66"/>
      <c r="AB12" s="66"/>
    </row>
    <row r="13" spans="1:28" ht="10.050000000000001" customHeight="1" x14ac:dyDescent="0.25">
      <c r="A13" s="56"/>
      <c r="B13" s="80" t="s">
        <v>176</v>
      </c>
      <c r="C13" s="99">
        <v>0.02</v>
      </c>
      <c r="D13" s="100"/>
      <c r="E13" s="66"/>
      <c r="F13" s="66"/>
      <c r="G13" s="66"/>
      <c r="H13" s="66"/>
      <c r="I13" s="66"/>
      <c r="J13" s="66"/>
      <c r="K13" s="66"/>
      <c r="L13" s="66"/>
      <c r="M13" s="66"/>
      <c r="N13" s="66"/>
      <c r="O13" s="66"/>
      <c r="P13" s="66"/>
      <c r="Q13" s="66"/>
      <c r="R13" s="66"/>
      <c r="S13" s="66"/>
      <c r="T13" s="66"/>
      <c r="U13" s="66"/>
      <c r="V13" s="66"/>
      <c r="W13" s="66"/>
      <c r="X13" s="66"/>
      <c r="Y13" s="66"/>
      <c r="Z13" s="66"/>
      <c r="AA13" s="66"/>
      <c r="AB13" s="66"/>
    </row>
    <row r="14" spans="1:28" ht="10.050000000000001" customHeight="1" x14ac:dyDescent="0.25">
      <c r="A14" s="56"/>
      <c r="B14" s="80" t="s">
        <v>177</v>
      </c>
      <c r="C14" s="101">
        <v>0.01</v>
      </c>
      <c r="D14" s="100"/>
      <c r="E14" s="66"/>
      <c r="F14" s="66"/>
      <c r="G14" s="66"/>
      <c r="H14" s="66"/>
      <c r="I14" s="66"/>
      <c r="J14" s="66"/>
      <c r="K14" s="66"/>
      <c r="L14" s="66"/>
      <c r="M14" s="66"/>
      <c r="N14" s="66"/>
      <c r="O14" s="66"/>
      <c r="P14" s="66"/>
      <c r="Q14" s="66"/>
      <c r="R14" s="66"/>
      <c r="S14" s="90"/>
      <c r="T14" s="90"/>
      <c r="U14" s="90"/>
      <c r="V14" s="90"/>
      <c r="W14" s="90"/>
      <c r="X14" s="90"/>
      <c r="Y14" s="90"/>
      <c r="Z14" s="90"/>
      <c r="AA14" s="90"/>
      <c r="AB14" s="90"/>
    </row>
    <row r="15" spans="1:28" ht="9.75" customHeight="1" x14ac:dyDescent="0.25">
      <c r="A15" s="56"/>
      <c r="B15" s="102" t="s">
        <v>178</v>
      </c>
      <c r="C15" s="94">
        <v>0.02</v>
      </c>
      <c r="D15" s="103"/>
      <c r="E15" s="90"/>
      <c r="F15" s="90"/>
      <c r="G15" s="90"/>
      <c r="H15" s="90"/>
      <c r="I15" s="90"/>
      <c r="J15" s="90"/>
      <c r="K15" s="90"/>
      <c r="L15" s="90"/>
      <c r="M15" s="90"/>
      <c r="N15" s="90"/>
      <c r="O15" s="90"/>
      <c r="P15" s="90"/>
      <c r="Q15" s="90"/>
      <c r="R15" s="90"/>
      <c r="S15" s="66"/>
      <c r="T15" s="66"/>
      <c r="U15" s="66"/>
      <c r="V15" s="66"/>
      <c r="W15" s="66"/>
      <c r="X15" s="66"/>
      <c r="Y15" s="66"/>
      <c r="Z15" s="66"/>
      <c r="AA15" s="66"/>
      <c r="AB15" s="66"/>
    </row>
    <row r="16" spans="1:28" ht="19.95" customHeight="1" x14ac:dyDescent="0.3">
      <c r="A16" s="104"/>
      <c r="B16" s="97"/>
      <c r="C16" s="105"/>
      <c r="D16" s="97"/>
      <c r="E16" s="66"/>
      <c r="F16" s="66"/>
      <c r="G16" s="66"/>
      <c r="H16" s="66"/>
      <c r="I16" s="66"/>
      <c r="J16" s="66"/>
      <c r="K16" s="66"/>
      <c r="L16" s="66"/>
      <c r="M16" s="66"/>
      <c r="N16" s="66"/>
      <c r="O16" s="66"/>
      <c r="P16" s="66"/>
      <c r="Q16" s="66"/>
      <c r="R16" s="66"/>
      <c r="S16" s="66"/>
      <c r="T16" s="66"/>
      <c r="U16" s="66"/>
      <c r="V16" s="66"/>
      <c r="W16" s="66"/>
      <c r="X16" s="66"/>
      <c r="Y16" s="66"/>
      <c r="Z16" s="66"/>
      <c r="AA16" s="66"/>
      <c r="AB16" s="66"/>
    </row>
    <row r="17" spans="1:28" ht="9.75" customHeight="1" x14ac:dyDescent="0.25">
      <c r="A17" s="56"/>
      <c r="B17" s="106"/>
      <c r="C17" s="107" t="s">
        <v>179</v>
      </c>
      <c r="D17" s="108" t="s">
        <v>180</v>
      </c>
      <c r="E17" s="108" t="s">
        <v>181</v>
      </c>
      <c r="F17" s="108" t="s">
        <v>182</v>
      </c>
      <c r="G17" s="108" t="s">
        <v>183</v>
      </c>
      <c r="H17" s="108" t="s">
        <v>184</v>
      </c>
      <c r="I17" s="108" t="s">
        <v>185</v>
      </c>
      <c r="J17" s="108" t="s">
        <v>186</v>
      </c>
      <c r="K17" s="108" t="s">
        <v>187</v>
      </c>
      <c r="L17" s="108" t="s">
        <v>188</v>
      </c>
      <c r="M17" s="109" t="s">
        <v>189</v>
      </c>
      <c r="N17" s="109" t="s">
        <v>190</v>
      </c>
      <c r="O17" s="109" t="s">
        <v>191</v>
      </c>
      <c r="P17" s="109" t="s">
        <v>192</v>
      </c>
      <c r="Q17" s="109" t="s">
        <v>193</v>
      </c>
      <c r="R17" s="109" t="s">
        <v>194</v>
      </c>
      <c r="S17" s="109" t="s">
        <v>195</v>
      </c>
      <c r="T17" s="109" t="s">
        <v>196</v>
      </c>
      <c r="U17" s="109" t="s">
        <v>197</v>
      </c>
      <c r="V17" s="109" t="s">
        <v>198</v>
      </c>
      <c r="W17" s="109" t="s">
        <v>199</v>
      </c>
      <c r="X17" s="109" t="s">
        <v>200</v>
      </c>
      <c r="Y17" s="109" t="s">
        <v>201</v>
      </c>
      <c r="Z17" s="109" t="s">
        <v>202</v>
      </c>
      <c r="AA17" s="109" t="s">
        <v>203</v>
      </c>
      <c r="AB17" s="109" t="s">
        <v>204</v>
      </c>
    </row>
    <row r="18" spans="1:28" ht="10.050000000000001" customHeight="1" x14ac:dyDescent="0.25">
      <c r="A18" s="56"/>
      <c r="B18" s="80" t="s">
        <v>205</v>
      </c>
      <c r="C18" s="110"/>
      <c r="D18" s="111">
        <f>C9</f>
        <v>9.31</v>
      </c>
      <c r="E18" s="111">
        <f t="shared" ref="E18:AB18" si="0">D18*1.02</f>
        <v>9.4962</v>
      </c>
      <c r="F18" s="111">
        <f t="shared" si="0"/>
        <v>9.6861239999999995</v>
      </c>
      <c r="G18" s="111">
        <f t="shared" si="0"/>
        <v>9.8798464799999994</v>
      </c>
      <c r="H18" s="111">
        <f t="shared" si="0"/>
        <v>10.077443409599999</v>
      </c>
      <c r="I18" s="111">
        <f t="shared" si="0"/>
        <v>10.278992277792</v>
      </c>
      <c r="J18" s="111">
        <f t="shared" si="0"/>
        <v>10.48457212334784</v>
      </c>
      <c r="K18" s="111">
        <f t="shared" si="0"/>
        <v>10.694263565814797</v>
      </c>
      <c r="L18" s="111">
        <f t="shared" si="0"/>
        <v>10.908148837131094</v>
      </c>
      <c r="M18" s="111">
        <f t="shared" si="0"/>
        <v>11.126311813873716</v>
      </c>
      <c r="N18" s="111">
        <f t="shared" si="0"/>
        <v>11.348838050151191</v>
      </c>
      <c r="O18" s="111">
        <f t="shared" si="0"/>
        <v>11.575814811154215</v>
      </c>
      <c r="P18" s="111">
        <f t="shared" si="0"/>
        <v>11.8073311073773</v>
      </c>
      <c r="Q18" s="111">
        <f t="shared" si="0"/>
        <v>12.043477729524845</v>
      </c>
      <c r="R18" s="111">
        <f t="shared" si="0"/>
        <v>12.284347284115343</v>
      </c>
      <c r="S18" s="111">
        <f t="shared" si="0"/>
        <v>12.53003422979765</v>
      </c>
      <c r="T18" s="111">
        <f t="shared" si="0"/>
        <v>12.780634914393604</v>
      </c>
      <c r="U18" s="111">
        <f t="shared" si="0"/>
        <v>13.036247612681477</v>
      </c>
      <c r="V18" s="111">
        <f t="shared" si="0"/>
        <v>13.296972564935107</v>
      </c>
      <c r="W18" s="111">
        <f t="shared" si="0"/>
        <v>13.56291201623381</v>
      </c>
      <c r="X18" s="111">
        <f t="shared" si="0"/>
        <v>13.834170256558487</v>
      </c>
      <c r="Y18" s="111">
        <f t="shared" si="0"/>
        <v>14.110853661689656</v>
      </c>
      <c r="Z18" s="111">
        <f t="shared" si="0"/>
        <v>14.39307073492345</v>
      </c>
      <c r="AA18" s="111">
        <f t="shared" si="0"/>
        <v>14.680932149621919</v>
      </c>
      <c r="AB18" s="111">
        <f t="shared" si="0"/>
        <v>14.974550792614357</v>
      </c>
    </row>
    <row r="19" spans="1:28" ht="10.050000000000001" customHeight="1" x14ac:dyDescent="0.25">
      <c r="A19" s="56"/>
      <c r="B19" s="80" t="s">
        <v>206</v>
      </c>
      <c r="C19" s="110"/>
      <c r="D19" s="112">
        <f>C12</f>
        <v>4320</v>
      </c>
      <c r="E19" s="113">
        <f>D19*98%</f>
        <v>4233.6000000000004</v>
      </c>
      <c r="F19" s="113">
        <f>E19*99%</f>
        <v>4191.2640000000001</v>
      </c>
      <c r="G19" s="113">
        <f t="shared" ref="G19:AB19" si="1">F19*99%</f>
        <v>4149.3513599999997</v>
      </c>
      <c r="H19" s="113">
        <f t="shared" si="1"/>
        <v>4107.8578463999993</v>
      </c>
      <c r="I19" s="113">
        <f t="shared" si="1"/>
        <v>4066.7792679359991</v>
      </c>
      <c r="J19" s="113">
        <f t="shared" si="1"/>
        <v>4026.1114752566391</v>
      </c>
      <c r="K19" s="113">
        <f t="shared" si="1"/>
        <v>3985.8503605040728</v>
      </c>
      <c r="L19" s="113">
        <f t="shared" si="1"/>
        <v>3945.991856899032</v>
      </c>
      <c r="M19" s="113">
        <f t="shared" si="1"/>
        <v>3906.5319383300416</v>
      </c>
      <c r="N19" s="113">
        <f t="shared" si="1"/>
        <v>3867.4666189467412</v>
      </c>
      <c r="O19" s="113">
        <f t="shared" si="1"/>
        <v>3828.7919527572735</v>
      </c>
      <c r="P19" s="113">
        <f t="shared" si="1"/>
        <v>3790.5040332297008</v>
      </c>
      <c r="Q19" s="113">
        <f t="shared" si="1"/>
        <v>3752.5989928974036</v>
      </c>
      <c r="R19" s="113">
        <f t="shared" si="1"/>
        <v>3715.0730029684296</v>
      </c>
      <c r="S19" s="113">
        <f t="shared" si="1"/>
        <v>3677.9222729387452</v>
      </c>
      <c r="T19" s="113">
        <f t="shared" si="1"/>
        <v>3641.1430502093576</v>
      </c>
      <c r="U19" s="113">
        <f t="shared" si="1"/>
        <v>3604.7316197072641</v>
      </c>
      <c r="V19" s="113">
        <f t="shared" si="1"/>
        <v>3568.6843035101915</v>
      </c>
      <c r="W19" s="113">
        <f t="shared" si="1"/>
        <v>3532.9974604750896</v>
      </c>
      <c r="X19" s="113">
        <f t="shared" si="1"/>
        <v>3497.6674858703386</v>
      </c>
      <c r="Y19" s="113">
        <f t="shared" si="1"/>
        <v>3462.6908110116351</v>
      </c>
      <c r="Z19" s="113">
        <f t="shared" si="1"/>
        <v>3428.0639029015188</v>
      </c>
      <c r="AA19" s="113">
        <f t="shared" si="1"/>
        <v>3393.7832638725035</v>
      </c>
      <c r="AB19" s="113">
        <f t="shared" si="1"/>
        <v>3359.8454312337785</v>
      </c>
    </row>
    <row r="20" spans="1:28" ht="10.050000000000001" customHeight="1" x14ac:dyDescent="0.25">
      <c r="A20" s="56"/>
      <c r="B20" s="114" t="s">
        <v>207</v>
      </c>
      <c r="C20" s="115"/>
      <c r="D20" s="116">
        <v>29.4</v>
      </c>
      <c r="E20" s="116">
        <v>29.1</v>
      </c>
      <c r="F20" s="116">
        <v>29.4</v>
      </c>
      <c r="G20" s="116">
        <v>29.7</v>
      </c>
      <c r="H20" s="116">
        <v>30</v>
      </c>
      <c r="I20" s="116">
        <v>30.3</v>
      </c>
      <c r="J20" s="116">
        <v>30.6</v>
      </c>
      <c r="K20" s="116">
        <v>30.9</v>
      </c>
      <c r="L20" s="116">
        <v>31.2</v>
      </c>
      <c r="M20" s="116">
        <v>31.5</v>
      </c>
      <c r="N20" s="116">
        <v>31.9</v>
      </c>
      <c r="O20" s="116">
        <v>32.299999999999997</v>
      </c>
      <c r="P20" s="116">
        <v>32.700000000000003</v>
      </c>
      <c r="Q20" s="116">
        <v>33.200000000000003</v>
      </c>
      <c r="R20" s="116">
        <v>33.6</v>
      </c>
      <c r="S20" s="116"/>
      <c r="T20" s="116"/>
      <c r="U20" s="116"/>
      <c r="V20" s="116"/>
      <c r="W20" s="116"/>
      <c r="X20" s="116"/>
      <c r="Y20" s="116"/>
      <c r="Z20" s="116"/>
      <c r="AA20" s="116"/>
      <c r="AB20" s="116"/>
    </row>
    <row r="21" spans="1:28" ht="9" customHeight="1" x14ac:dyDescent="0.25">
      <c r="A21" s="56"/>
      <c r="B21" s="117"/>
      <c r="C21" s="110"/>
      <c r="D21" s="117"/>
      <c r="E21" s="117"/>
      <c r="F21" s="117"/>
      <c r="G21" s="117"/>
      <c r="H21" s="117"/>
      <c r="I21" s="117"/>
      <c r="J21" s="117"/>
      <c r="K21" s="117"/>
      <c r="L21" s="117"/>
      <c r="M21" s="117"/>
      <c r="N21" s="117"/>
      <c r="O21" s="117"/>
      <c r="P21" s="117"/>
      <c r="Q21" s="117"/>
      <c r="R21" s="117"/>
      <c r="S21" s="66"/>
      <c r="T21" s="66"/>
      <c r="U21" s="66"/>
      <c r="V21" s="66"/>
      <c r="W21" s="66"/>
      <c r="X21" s="66"/>
      <c r="Y21" s="66"/>
      <c r="Z21" s="66"/>
      <c r="AA21" s="66"/>
      <c r="AB21" s="66"/>
    </row>
    <row r="22" spans="1:28" ht="10.050000000000001" customHeight="1" x14ac:dyDescent="0.25">
      <c r="A22" s="56"/>
      <c r="B22" s="118" t="s">
        <v>208</v>
      </c>
      <c r="C22" s="119"/>
      <c r="D22" s="120">
        <v>0</v>
      </c>
      <c r="E22" s="120">
        <v>0</v>
      </c>
      <c r="F22" s="120">
        <v>0</v>
      </c>
      <c r="G22" s="120">
        <v>0</v>
      </c>
      <c r="H22" s="120">
        <v>0</v>
      </c>
      <c r="I22" s="120">
        <v>0</v>
      </c>
      <c r="J22" s="120">
        <v>0</v>
      </c>
      <c r="K22" s="120">
        <v>0</v>
      </c>
      <c r="L22" s="121"/>
      <c r="M22" s="121"/>
      <c r="N22" s="121"/>
      <c r="O22" s="121"/>
      <c r="P22" s="121"/>
      <c r="Q22" s="121"/>
      <c r="R22" s="121"/>
      <c r="S22" s="121"/>
      <c r="T22" s="121"/>
      <c r="U22" s="121"/>
      <c r="V22" s="121"/>
      <c r="W22" s="121"/>
      <c r="X22" s="121"/>
      <c r="Y22" s="121"/>
      <c r="Z22" s="121"/>
      <c r="AA22" s="121"/>
      <c r="AB22" s="121"/>
    </row>
    <row r="23" spans="1:28" ht="10.050000000000001" customHeight="1" x14ac:dyDescent="0.25">
      <c r="A23" s="56"/>
      <c r="B23" s="117"/>
      <c r="C23" s="110"/>
      <c r="D23" s="117"/>
      <c r="E23" s="117"/>
      <c r="F23" s="117"/>
      <c r="G23" s="117"/>
      <c r="H23" s="117"/>
      <c r="I23" s="117"/>
      <c r="J23" s="117"/>
      <c r="K23" s="117"/>
      <c r="L23" s="117"/>
      <c r="M23" s="117"/>
      <c r="N23" s="117"/>
      <c r="O23" s="117"/>
      <c r="P23" s="117"/>
      <c r="Q23" s="117"/>
      <c r="R23" s="117"/>
      <c r="S23" s="66"/>
      <c r="T23" s="66"/>
      <c r="U23" s="66"/>
      <c r="V23" s="66"/>
      <c r="W23" s="66"/>
      <c r="X23" s="66"/>
      <c r="Y23" s="66"/>
      <c r="Z23" s="66"/>
      <c r="AA23" s="66"/>
      <c r="AB23" s="66"/>
    </row>
    <row r="24" spans="1:28" ht="9.75" customHeight="1" x14ac:dyDescent="0.25">
      <c r="A24" s="56"/>
      <c r="B24" s="122" t="s">
        <v>209</v>
      </c>
      <c r="C24" s="123">
        <v>72.14</v>
      </c>
      <c r="D24" s="117"/>
      <c r="E24" s="117"/>
      <c r="F24" s="117"/>
      <c r="G24" s="117"/>
      <c r="H24" s="117"/>
      <c r="I24" s="117"/>
      <c r="J24" s="117"/>
      <c r="K24" s="117"/>
      <c r="L24" s="117"/>
      <c r="M24" s="117"/>
      <c r="N24" s="117"/>
      <c r="O24" s="117"/>
      <c r="P24" s="117"/>
      <c r="Q24" s="117"/>
      <c r="R24" s="117"/>
      <c r="S24" s="66"/>
      <c r="T24" s="66"/>
      <c r="U24" s="66"/>
      <c r="V24" s="66"/>
      <c r="W24" s="66"/>
      <c r="X24" s="66"/>
      <c r="Y24" s="66"/>
      <c r="Z24" s="66"/>
      <c r="AA24" s="66"/>
      <c r="AB24" s="66"/>
    </row>
    <row r="25" spans="1:28" ht="10.050000000000001" customHeight="1" x14ac:dyDescent="0.25">
      <c r="A25" s="56"/>
      <c r="B25" s="122" t="s">
        <v>210</v>
      </c>
      <c r="C25" s="124"/>
      <c r="D25" s="125">
        <v>0.6</v>
      </c>
      <c r="E25" s="125">
        <v>0.6</v>
      </c>
      <c r="F25" s="125">
        <v>0.6</v>
      </c>
      <c r="G25" s="125">
        <v>0.6</v>
      </c>
      <c r="H25" s="125">
        <v>0.7</v>
      </c>
      <c r="I25" s="125">
        <v>0.7</v>
      </c>
      <c r="J25" s="125">
        <v>0.7</v>
      </c>
      <c r="K25" s="125">
        <v>0.7</v>
      </c>
      <c r="L25" s="125">
        <v>0.7</v>
      </c>
      <c r="M25" s="125">
        <v>0.7</v>
      </c>
      <c r="N25" s="125">
        <v>0.7</v>
      </c>
      <c r="O25" s="125">
        <v>0.7</v>
      </c>
      <c r="P25" s="125">
        <v>0.7</v>
      </c>
      <c r="Q25" s="125">
        <v>0.7</v>
      </c>
      <c r="R25" s="125">
        <v>0.8</v>
      </c>
      <c r="S25" s="125"/>
      <c r="T25" s="125"/>
      <c r="U25" s="125"/>
      <c r="V25" s="125"/>
      <c r="W25" s="125"/>
      <c r="X25" s="125"/>
      <c r="Y25" s="125"/>
      <c r="Z25" s="125"/>
      <c r="AA25" s="125"/>
      <c r="AB25" s="125"/>
    </row>
    <row r="26" spans="1:28" ht="10.050000000000001" customHeight="1" x14ac:dyDescent="0.25">
      <c r="A26" s="56"/>
      <c r="B26" s="117"/>
      <c r="C26" s="110"/>
      <c r="D26" s="117"/>
      <c r="E26" s="117"/>
      <c r="F26" s="117"/>
      <c r="G26" s="117"/>
      <c r="H26" s="117"/>
      <c r="I26" s="117"/>
      <c r="J26" s="117"/>
      <c r="K26" s="117"/>
      <c r="L26" s="117"/>
      <c r="M26" s="117"/>
      <c r="N26" s="117"/>
      <c r="O26" s="117"/>
      <c r="P26" s="117"/>
      <c r="Q26" s="117"/>
      <c r="R26" s="117"/>
      <c r="S26" s="66"/>
      <c r="T26" s="66"/>
      <c r="U26" s="66"/>
      <c r="V26" s="66"/>
      <c r="W26" s="66"/>
      <c r="X26" s="66"/>
      <c r="Y26" s="66"/>
      <c r="Z26" s="66"/>
      <c r="AA26" s="66"/>
      <c r="AB26" s="66"/>
    </row>
    <row r="27" spans="1:28" ht="10.050000000000001" customHeight="1" x14ac:dyDescent="0.25">
      <c r="A27" s="56"/>
      <c r="B27" s="80" t="s">
        <v>211</v>
      </c>
      <c r="C27" s="110"/>
      <c r="D27" s="126">
        <v>63.4</v>
      </c>
      <c r="E27" s="126">
        <v>25.4</v>
      </c>
      <c r="F27" s="126">
        <v>15.2</v>
      </c>
      <c r="G27" s="126">
        <v>9.1</v>
      </c>
      <c r="H27" s="126">
        <v>5.5</v>
      </c>
      <c r="I27" s="126">
        <v>3.3</v>
      </c>
      <c r="J27" s="126">
        <v>2</v>
      </c>
      <c r="K27" s="126">
        <v>1.2</v>
      </c>
      <c r="L27" s="127">
        <v>1</v>
      </c>
      <c r="M27" s="126">
        <v>0.4</v>
      </c>
      <c r="N27" s="126">
        <v>0.3</v>
      </c>
      <c r="O27" s="126">
        <v>0.2</v>
      </c>
      <c r="P27" s="126">
        <v>0.1</v>
      </c>
      <c r="Q27" s="126">
        <v>0.1</v>
      </c>
      <c r="R27" s="126">
        <v>0</v>
      </c>
      <c r="S27" s="66"/>
      <c r="T27" s="66"/>
      <c r="U27" s="66"/>
      <c r="V27" s="66"/>
      <c r="W27" s="66"/>
      <c r="X27" s="66"/>
      <c r="Y27" s="66"/>
      <c r="Z27" s="66"/>
      <c r="AA27" s="66"/>
      <c r="AB27" s="66"/>
    </row>
    <row r="28" spans="1:28" ht="9.75" customHeight="1" x14ac:dyDescent="0.25">
      <c r="A28" s="56"/>
      <c r="B28" s="80" t="s">
        <v>212</v>
      </c>
      <c r="C28" s="110"/>
      <c r="D28" s="126">
        <v>38</v>
      </c>
      <c r="E28" s="126">
        <v>10.1</v>
      </c>
      <c r="F28" s="126">
        <v>6.1</v>
      </c>
      <c r="G28" s="126">
        <v>3.7</v>
      </c>
      <c r="H28" s="126">
        <v>2.2000000000000002</v>
      </c>
      <c r="I28" s="126">
        <v>1.3</v>
      </c>
      <c r="J28" s="126">
        <v>0.8</v>
      </c>
      <c r="K28" s="126">
        <v>0.5</v>
      </c>
      <c r="L28" s="126">
        <v>0.3</v>
      </c>
      <c r="M28" s="126">
        <v>0.2</v>
      </c>
      <c r="N28" s="126">
        <v>0.1</v>
      </c>
      <c r="O28" s="126">
        <v>0.1</v>
      </c>
      <c r="P28" s="126">
        <v>0</v>
      </c>
      <c r="Q28" s="126">
        <v>0</v>
      </c>
      <c r="R28" s="126">
        <v>0</v>
      </c>
      <c r="S28" s="66"/>
      <c r="T28" s="66"/>
      <c r="U28" s="66"/>
      <c r="V28" s="66"/>
      <c r="W28" s="66"/>
      <c r="X28" s="66"/>
      <c r="Y28" s="66"/>
      <c r="Z28" s="66"/>
      <c r="AA28" s="66"/>
      <c r="AB28" s="66"/>
    </row>
    <row r="29" spans="1:28" ht="10.050000000000001" customHeight="1" x14ac:dyDescent="0.25">
      <c r="A29" s="56"/>
      <c r="B29" s="80" t="s">
        <v>213</v>
      </c>
      <c r="C29" s="110"/>
      <c r="D29" s="126">
        <v>25.4</v>
      </c>
      <c r="E29" s="126">
        <v>15.2</v>
      </c>
      <c r="F29" s="126">
        <v>9.1</v>
      </c>
      <c r="G29" s="126">
        <v>5.5</v>
      </c>
      <c r="H29" s="126">
        <v>3.3</v>
      </c>
      <c r="I29" s="126">
        <v>2</v>
      </c>
      <c r="J29" s="126">
        <v>1.2</v>
      </c>
      <c r="K29" s="126">
        <v>0.7</v>
      </c>
      <c r="L29" s="126">
        <v>0.4</v>
      </c>
      <c r="M29" s="126">
        <v>0.3</v>
      </c>
      <c r="N29" s="126">
        <v>0.2</v>
      </c>
      <c r="O29" s="126">
        <v>0.1</v>
      </c>
      <c r="P29" s="126">
        <v>0.1</v>
      </c>
      <c r="Q29" s="126">
        <v>0</v>
      </c>
      <c r="R29" s="126">
        <v>0</v>
      </c>
      <c r="S29" s="66"/>
      <c r="T29" s="66"/>
      <c r="U29" s="66"/>
      <c r="V29" s="66"/>
      <c r="W29" s="66"/>
      <c r="X29" s="66"/>
      <c r="Y29" s="66"/>
      <c r="Z29" s="66"/>
      <c r="AA29" s="66"/>
      <c r="AB29" s="66"/>
    </row>
    <row r="30" spans="1:28" ht="10.050000000000001" customHeight="1" x14ac:dyDescent="0.25">
      <c r="A30" s="56"/>
      <c r="B30" s="114" t="s">
        <v>214</v>
      </c>
      <c r="C30" s="115"/>
      <c r="D30" s="128">
        <v>0</v>
      </c>
      <c r="E30" s="128">
        <v>0</v>
      </c>
      <c r="F30" s="128">
        <v>0</v>
      </c>
      <c r="G30" s="128">
        <v>0</v>
      </c>
      <c r="H30" s="128">
        <v>0</v>
      </c>
      <c r="I30" s="128">
        <v>0</v>
      </c>
      <c r="J30" s="128">
        <v>0</v>
      </c>
      <c r="K30" s="128">
        <v>0</v>
      </c>
      <c r="L30" s="128">
        <v>0</v>
      </c>
      <c r="M30" s="128">
        <v>0</v>
      </c>
      <c r="N30" s="128">
        <v>0</v>
      </c>
      <c r="O30" s="128">
        <v>0</v>
      </c>
      <c r="P30" s="128">
        <v>0</v>
      </c>
      <c r="Q30" s="128">
        <v>0</v>
      </c>
      <c r="R30" s="128">
        <v>0</v>
      </c>
      <c r="S30" s="128"/>
      <c r="T30" s="128"/>
      <c r="U30" s="128"/>
      <c r="V30" s="128"/>
      <c r="W30" s="128"/>
      <c r="X30" s="128"/>
      <c r="Y30" s="128"/>
      <c r="Z30" s="128"/>
      <c r="AA30" s="128"/>
      <c r="AB30" s="128"/>
    </row>
    <row r="31" spans="1:28" ht="9" customHeight="1" x14ac:dyDescent="0.25">
      <c r="A31" s="56"/>
      <c r="B31" s="117"/>
      <c r="C31" s="110"/>
      <c r="D31" s="117"/>
      <c r="E31" s="117"/>
      <c r="F31" s="117"/>
      <c r="G31" s="117"/>
      <c r="H31" s="117"/>
      <c r="I31" s="117"/>
      <c r="J31" s="117"/>
      <c r="K31" s="117"/>
      <c r="L31" s="117"/>
      <c r="M31" s="117"/>
      <c r="N31" s="117"/>
      <c r="O31" s="117"/>
      <c r="P31" s="117"/>
      <c r="Q31" s="117"/>
      <c r="R31" s="117"/>
      <c r="S31" s="66"/>
      <c r="T31" s="66"/>
      <c r="U31" s="66"/>
      <c r="V31" s="66"/>
      <c r="W31" s="66"/>
      <c r="X31" s="66"/>
      <c r="Y31" s="66"/>
      <c r="Z31" s="66"/>
      <c r="AA31" s="66"/>
      <c r="AB31" s="66"/>
    </row>
    <row r="32" spans="1:28" ht="10.050000000000001" customHeight="1" x14ac:dyDescent="0.25">
      <c r="A32" s="56"/>
      <c r="B32" s="129" t="s">
        <v>215</v>
      </c>
      <c r="C32" s="130"/>
      <c r="D32" s="131">
        <v>8.75</v>
      </c>
      <c r="E32" s="132"/>
      <c r="F32" s="132"/>
      <c r="G32" s="132"/>
      <c r="H32" s="132"/>
      <c r="I32" s="132"/>
      <c r="J32" s="132"/>
      <c r="K32" s="132"/>
      <c r="L32" s="132"/>
      <c r="M32" s="132"/>
      <c r="N32" s="132"/>
      <c r="O32" s="132"/>
      <c r="P32" s="132"/>
      <c r="Q32" s="132"/>
      <c r="R32" s="132"/>
      <c r="S32" s="132"/>
      <c r="T32" s="132"/>
      <c r="U32" s="132"/>
      <c r="V32" s="132"/>
      <c r="W32" s="132"/>
      <c r="X32" s="132"/>
      <c r="Y32" s="132"/>
      <c r="Z32" s="132"/>
      <c r="AA32" s="132"/>
      <c r="AB32" s="132"/>
    </row>
    <row r="33" spans="1:28" ht="10.050000000000001" customHeight="1" x14ac:dyDescent="0.25">
      <c r="A33" s="56"/>
      <c r="B33" s="117"/>
      <c r="C33" s="110"/>
      <c r="D33" s="117"/>
      <c r="E33" s="117"/>
      <c r="F33" s="117"/>
      <c r="G33" s="117"/>
      <c r="H33" s="117"/>
      <c r="I33" s="117"/>
      <c r="J33" s="117"/>
      <c r="K33" s="117"/>
      <c r="L33" s="117"/>
      <c r="M33" s="117"/>
      <c r="N33" s="117"/>
      <c r="O33" s="117"/>
      <c r="P33" s="117"/>
      <c r="Q33" s="117"/>
      <c r="R33" s="117"/>
      <c r="S33" s="66"/>
      <c r="T33" s="66"/>
      <c r="U33" s="66"/>
      <c r="V33" s="66"/>
      <c r="W33" s="66"/>
      <c r="X33" s="66"/>
      <c r="Y33" s="66"/>
      <c r="Z33" s="66"/>
      <c r="AA33" s="66"/>
      <c r="AB33" s="66"/>
    </row>
    <row r="34" spans="1:28" ht="10.050000000000001" customHeight="1" x14ac:dyDescent="0.25">
      <c r="A34" s="56"/>
      <c r="B34" s="133" t="s">
        <v>216</v>
      </c>
      <c r="C34" s="134">
        <v>-72.099999999999994</v>
      </c>
      <c r="D34" s="135">
        <v>37.5</v>
      </c>
      <c r="E34" s="135">
        <v>28.5</v>
      </c>
      <c r="F34" s="135">
        <v>28.8</v>
      </c>
      <c r="G34" s="135">
        <v>29</v>
      </c>
      <c r="H34" s="135">
        <v>29.3</v>
      </c>
      <c r="I34" s="135">
        <v>29.6</v>
      </c>
      <c r="J34" s="135">
        <v>29.9</v>
      </c>
      <c r="K34" s="135">
        <v>30.2</v>
      </c>
      <c r="L34" s="135">
        <v>30.5</v>
      </c>
      <c r="M34" s="135">
        <v>30.8</v>
      </c>
      <c r="N34" s="135">
        <v>31.2</v>
      </c>
      <c r="O34" s="135">
        <v>31.6</v>
      </c>
      <c r="P34" s="135">
        <v>32</v>
      </c>
      <c r="Q34" s="135">
        <v>32.4</v>
      </c>
      <c r="R34" s="135">
        <v>32.799999999999997</v>
      </c>
      <c r="S34" s="135"/>
      <c r="T34" s="135"/>
      <c r="U34" s="135"/>
      <c r="V34" s="135"/>
      <c r="W34" s="135"/>
      <c r="X34" s="135"/>
      <c r="Y34" s="135"/>
      <c r="Z34" s="135"/>
      <c r="AA34" s="135"/>
      <c r="AB34" s="135"/>
    </row>
    <row r="35" spans="1:28" ht="9.75" customHeight="1" x14ac:dyDescent="0.25">
      <c r="A35" s="56"/>
      <c r="B35" s="133" t="s">
        <v>217</v>
      </c>
      <c r="C35" s="134">
        <v>-72.099999999999994</v>
      </c>
      <c r="D35" s="136">
        <v>37.5</v>
      </c>
      <c r="E35" s="136">
        <v>66</v>
      </c>
      <c r="F35" s="135">
        <v>94.8</v>
      </c>
      <c r="G35" s="135">
        <v>123.8</v>
      </c>
      <c r="H35" s="135">
        <v>153.19999999999999</v>
      </c>
      <c r="I35" s="135">
        <v>182.8</v>
      </c>
      <c r="J35" s="135">
        <v>212.7</v>
      </c>
      <c r="K35" s="135">
        <v>242.9</v>
      </c>
      <c r="L35" s="135">
        <v>273.3</v>
      </c>
      <c r="M35" s="135">
        <v>304.10000000000002</v>
      </c>
      <c r="N35" s="135">
        <v>335.3</v>
      </c>
      <c r="O35" s="135">
        <v>366.9</v>
      </c>
      <c r="P35" s="135">
        <v>398.9</v>
      </c>
      <c r="Q35" s="135">
        <v>431.3</v>
      </c>
      <c r="R35" s="135">
        <v>464.2</v>
      </c>
      <c r="S35" s="135"/>
      <c r="T35" s="135"/>
      <c r="U35" s="135"/>
      <c r="V35" s="135"/>
      <c r="W35" s="135"/>
      <c r="X35" s="135"/>
      <c r="Y35" s="135"/>
      <c r="Z35" s="135"/>
      <c r="AA35" s="135"/>
      <c r="AB35" s="135"/>
    </row>
    <row r="36" spans="1:28" ht="10.050000000000001" customHeight="1" x14ac:dyDescent="0.25">
      <c r="A36" s="56"/>
      <c r="B36" s="80" t="s">
        <v>218</v>
      </c>
      <c r="C36" s="98">
        <v>0</v>
      </c>
      <c r="D36" s="98">
        <v>1</v>
      </c>
      <c r="E36" s="98">
        <v>2</v>
      </c>
      <c r="F36" s="98">
        <v>3</v>
      </c>
      <c r="G36" s="98">
        <v>4</v>
      </c>
      <c r="H36" s="98">
        <v>5</v>
      </c>
      <c r="I36" s="98">
        <v>6</v>
      </c>
      <c r="J36" s="98">
        <v>7</v>
      </c>
      <c r="K36" s="98">
        <v>8</v>
      </c>
      <c r="L36" s="98">
        <v>9</v>
      </c>
      <c r="M36" s="98">
        <v>10</v>
      </c>
      <c r="N36" s="98">
        <v>11</v>
      </c>
      <c r="O36" s="98">
        <v>12</v>
      </c>
      <c r="P36" s="98">
        <v>13</v>
      </c>
      <c r="Q36" s="98">
        <v>14</v>
      </c>
      <c r="R36" s="111">
        <v>15</v>
      </c>
      <c r="S36" s="111"/>
      <c r="T36" s="111"/>
      <c r="U36" s="111"/>
      <c r="V36" s="111"/>
      <c r="W36" s="111"/>
      <c r="X36" s="111"/>
      <c r="Y36" s="111"/>
      <c r="Z36" s="111"/>
      <c r="AA36" s="111"/>
      <c r="AB36" s="111"/>
    </row>
    <row r="37" spans="1:28" ht="10.050000000000001" customHeight="1" x14ac:dyDescent="0.25">
      <c r="A37" s="56"/>
      <c r="B37" s="100"/>
      <c r="C37" s="137"/>
      <c r="D37" s="138"/>
      <c r="E37" s="138"/>
      <c r="F37" s="138"/>
      <c r="G37" s="138"/>
      <c r="H37" s="138"/>
      <c r="I37" s="138"/>
      <c r="J37" s="138"/>
      <c r="K37" s="138"/>
      <c r="L37" s="138"/>
      <c r="M37" s="138"/>
      <c r="N37" s="138"/>
      <c r="O37" s="138"/>
      <c r="P37" s="138"/>
      <c r="Q37" s="138"/>
      <c r="R37" s="139"/>
      <c r="S37" s="66"/>
      <c r="T37" s="66"/>
      <c r="U37" s="66"/>
      <c r="V37" s="66"/>
      <c r="W37" s="66"/>
      <c r="X37" s="66"/>
      <c r="Y37" s="66"/>
      <c r="Z37" s="66"/>
      <c r="AA37" s="66"/>
      <c r="AB37" s="66"/>
    </row>
    <row r="38" spans="1:28" ht="9.75" customHeight="1" x14ac:dyDescent="0.25">
      <c r="A38" s="56"/>
      <c r="B38" s="140" t="s">
        <v>219</v>
      </c>
      <c r="C38" s="141">
        <v>0.44</v>
      </c>
      <c r="D38" s="117"/>
      <c r="E38" s="100"/>
      <c r="F38" s="138"/>
      <c r="G38" s="138"/>
      <c r="H38" s="138"/>
      <c r="I38" s="138"/>
      <c r="J38" s="138"/>
      <c r="K38" s="138"/>
      <c r="L38" s="138"/>
      <c r="M38" s="138"/>
      <c r="N38" s="138"/>
      <c r="O38" s="138"/>
      <c r="P38" s="138"/>
      <c r="Q38" s="138"/>
      <c r="R38" s="139"/>
      <c r="S38" s="66"/>
      <c r="T38" s="66"/>
      <c r="U38" s="66"/>
      <c r="V38" s="66"/>
      <c r="W38" s="66"/>
      <c r="X38" s="66"/>
      <c r="Y38" s="66"/>
      <c r="Z38" s="66"/>
      <c r="AA38" s="66"/>
      <c r="AB38" s="66"/>
    </row>
    <row r="39" spans="1:28" ht="10.050000000000001" customHeight="1" x14ac:dyDescent="0.25">
      <c r="A39" s="56"/>
      <c r="B39" s="140" t="s">
        <v>220</v>
      </c>
      <c r="C39" s="91">
        <v>338.41</v>
      </c>
      <c r="D39" s="80" t="s">
        <v>221</v>
      </c>
      <c r="E39" s="100"/>
      <c r="F39" s="138"/>
      <c r="G39" s="138"/>
      <c r="H39" s="138"/>
      <c r="I39" s="138"/>
      <c r="J39" s="138"/>
      <c r="K39" s="138"/>
      <c r="L39" s="138"/>
      <c r="M39" s="138"/>
      <c r="N39" s="138"/>
      <c r="O39" s="138"/>
      <c r="P39" s="138"/>
      <c r="Q39" s="138"/>
      <c r="R39" s="139"/>
      <c r="S39" s="66"/>
      <c r="T39" s="66"/>
      <c r="U39" s="66"/>
      <c r="V39" s="66"/>
      <c r="W39" s="66"/>
      <c r="X39" s="66"/>
      <c r="Y39" s="66"/>
      <c r="Z39" s="66"/>
      <c r="AA39" s="66"/>
      <c r="AB39" s="66"/>
    </row>
    <row r="40" spans="1:28" ht="10.050000000000001" customHeight="1" x14ac:dyDescent="0.25">
      <c r="A40" s="56"/>
      <c r="B40" s="140" t="s">
        <v>222</v>
      </c>
      <c r="C40" s="81">
        <v>2</v>
      </c>
      <c r="D40" s="86" t="s">
        <v>223</v>
      </c>
      <c r="E40" s="142" t="s">
        <v>224</v>
      </c>
      <c r="F40" s="143"/>
      <c r="G40" s="143"/>
      <c r="H40" s="143"/>
      <c r="I40" s="143"/>
      <c r="J40" s="143"/>
      <c r="K40" s="143"/>
      <c r="L40" s="143"/>
      <c r="M40" s="143"/>
      <c r="N40" s="143"/>
      <c r="O40" s="143"/>
      <c r="P40" s="143"/>
      <c r="Q40" s="143"/>
      <c r="R40" s="144"/>
      <c r="S40" s="143"/>
      <c r="T40" s="143"/>
      <c r="U40" s="143"/>
      <c r="V40" s="143"/>
      <c r="W40" s="143"/>
      <c r="X40" s="143"/>
      <c r="Y40" s="143"/>
      <c r="Z40" s="143"/>
      <c r="AA40" s="143"/>
      <c r="AB40" s="143"/>
    </row>
    <row r="41" spans="1:28" ht="10.050000000000001" customHeight="1" x14ac:dyDescent="0.25">
      <c r="A41" s="56"/>
      <c r="B41" s="140" t="s">
        <v>225</v>
      </c>
      <c r="C41" s="145">
        <v>817.3</v>
      </c>
      <c r="D41" s="117"/>
      <c r="E41" s="100"/>
      <c r="F41" s="138"/>
      <c r="G41" s="138"/>
      <c r="H41" s="138"/>
      <c r="I41" s="138"/>
      <c r="J41" s="138"/>
      <c r="K41" s="138"/>
      <c r="L41" s="138"/>
      <c r="M41" s="138"/>
      <c r="N41" s="138"/>
      <c r="O41" s="138"/>
      <c r="P41" s="138"/>
      <c r="Q41" s="138"/>
      <c r="R41" s="139"/>
      <c r="S41" s="66"/>
      <c r="T41" s="66"/>
      <c r="U41" s="66"/>
      <c r="V41" s="66"/>
      <c r="W41" s="66"/>
      <c r="X41" s="66"/>
      <c r="Y41" s="66"/>
      <c r="Z41" s="66"/>
      <c r="AA41" s="66"/>
      <c r="AB41" s="66"/>
    </row>
    <row r="42" spans="1:28" ht="10.199999999999999" customHeight="1" x14ac:dyDescent="0.25">
      <c r="A42" s="56"/>
      <c r="B42" s="146"/>
      <c r="C42" s="147"/>
      <c r="D42" s="146"/>
      <c r="E42" s="146"/>
      <c r="F42" s="146"/>
      <c r="G42" s="146"/>
      <c r="H42" s="146"/>
      <c r="I42" s="146"/>
      <c r="J42" s="146"/>
      <c r="K42" s="146"/>
      <c r="L42" s="146"/>
      <c r="M42" s="146"/>
      <c r="N42" s="146"/>
      <c r="O42" s="146"/>
      <c r="P42" s="146"/>
      <c r="Q42" s="146"/>
      <c r="R42" s="146"/>
      <c r="S42" s="146"/>
      <c r="T42" s="146"/>
      <c r="U42" s="146"/>
      <c r="V42" s="146"/>
      <c r="W42" s="146"/>
      <c r="X42" s="146"/>
      <c r="Y42" s="146"/>
      <c r="Z42" s="146"/>
      <c r="AA42" s="146"/>
      <c r="AB42" s="146"/>
    </row>
  </sheetData>
  <mergeCells count="11">
    <mergeCell ref="F7:K7"/>
    <mergeCell ref="N7:Q7"/>
    <mergeCell ref="B1:AB1"/>
    <mergeCell ref="B2:AB2"/>
    <mergeCell ref="B3:AB3"/>
    <mergeCell ref="B4:AB4"/>
    <mergeCell ref="B5:R5"/>
    <mergeCell ref="B6:D6"/>
    <mergeCell ref="G6:I6"/>
    <mergeCell ref="J6:N6"/>
    <mergeCell ref="O6:Q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BOM</vt:lpstr>
      <vt:lpstr>Input form</vt:lpstr>
      <vt:lpstr>Process</vt:lpstr>
      <vt:lpstr>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2025-09-22T02:54:26Z</dcterms:created>
  <dcterms:modified xsi:type="dcterms:W3CDTF">2025-09-24T04:41:29Z</dcterms:modified>
</cp:coreProperties>
</file>